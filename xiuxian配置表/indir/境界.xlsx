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odot\xiuxian\xiuxian配置表\indir\"/>
    </mc:Choice>
  </mc:AlternateContent>
  <xr:revisionPtr revIDLastSave="0" documentId="13_ncr:1_{64B886A0-3AC6-4A15-9C70-0F4F664EB3EB}" xr6:coauthVersionLast="47" xr6:coauthVersionMax="47" xr10:uidLastSave="{00000000-0000-0000-0000-000000000000}"/>
  <bookViews>
    <workbookView xWindow="360" yWindow="495" windowWidth="28650" windowHeight="9915" xr2:uid="{00000000-000D-0000-FFFF-FFFF00000000}"/>
  </bookViews>
  <sheets>
    <sheet name="z_real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6" i="1" l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5" i="1"/>
  <c r="J34" i="1"/>
  <c r="K34" i="1"/>
  <c r="L34" i="1"/>
  <c r="M34" i="1"/>
  <c r="U34" i="1" s="1"/>
  <c r="N34" i="1"/>
  <c r="O34" i="1"/>
  <c r="P34" i="1"/>
  <c r="Q34" i="1"/>
  <c r="V34" i="1" s="1"/>
  <c r="R34" i="1"/>
  <c r="T34" i="1"/>
  <c r="W34" i="1"/>
  <c r="X34" i="1"/>
  <c r="J35" i="1"/>
  <c r="T35" i="1" s="1"/>
  <c r="K35" i="1"/>
  <c r="L35" i="1"/>
  <c r="M35" i="1"/>
  <c r="U35" i="1" s="1"/>
  <c r="N35" i="1"/>
  <c r="O35" i="1"/>
  <c r="P35" i="1"/>
  <c r="Q35" i="1"/>
  <c r="R35" i="1"/>
  <c r="V35" i="1"/>
  <c r="W35" i="1"/>
  <c r="X35" i="1"/>
  <c r="J36" i="1"/>
  <c r="K36" i="1"/>
  <c r="L36" i="1"/>
  <c r="M36" i="1"/>
  <c r="U36" i="1" s="1"/>
  <c r="N36" i="1"/>
  <c r="O36" i="1"/>
  <c r="P36" i="1"/>
  <c r="Q36" i="1"/>
  <c r="R36" i="1"/>
  <c r="T36" i="1"/>
  <c r="V36" i="1"/>
  <c r="W36" i="1"/>
  <c r="X36" i="1"/>
  <c r="J37" i="1"/>
  <c r="K37" i="1"/>
  <c r="L37" i="1"/>
  <c r="M37" i="1"/>
  <c r="N37" i="1"/>
  <c r="O37" i="1"/>
  <c r="P37" i="1"/>
  <c r="V37" i="1" s="1"/>
  <c r="Q37" i="1"/>
  <c r="R37" i="1"/>
  <c r="T37" i="1"/>
  <c r="W37" i="1"/>
  <c r="X37" i="1"/>
  <c r="J38" i="1"/>
  <c r="K38" i="1"/>
  <c r="L38" i="1"/>
  <c r="M38" i="1"/>
  <c r="U38" i="1" s="1"/>
  <c r="N38" i="1"/>
  <c r="O38" i="1"/>
  <c r="P38" i="1"/>
  <c r="Q38" i="1"/>
  <c r="R38" i="1"/>
  <c r="T38" i="1"/>
  <c r="V38" i="1"/>
  <c r="W38" i="1"/>
  <c r="X38" i="1"/>
  <c r="J39" i="1"/>
  <c r="T39" i="1" s="1"/>
  <c r="K39" i="1"/>
  <c r="L39" i="1"/>
  <c r="M39" i="1"/>
  <c r="U39" i="1" s="1"/>
  <c r="N39" i="1"/>
  <c r="O39" i="1"/>
  <c r="P39" i="1"/>
  <c r="Q39" i="1"/>
  <c r="R39" i="1"/>
  <c r="V39" i="1"/>
  <c r="W39" i="1"/>
  <c r="X39" i="1"/>
  <c r="J40" i="1"/>
  <c r="K40" i="1"/>
  <c r="L40" i="1"/>
  <c r="M40" i="1"/>
  <c r="U40" i="1" s="1"/>
  <c r="N40" i="1"/>
  <c r="O40" i="1"/>
  <c r="P40" i="1"/>
  <c r="Q40" i="1"/>
  <c r="R40" i="1"/>
  <c r="T40" i="1"/>
  <c r="V40" i="1"/>
  <c r="W40" i="1"/>
  <c r="X40" i="1"/>
  <c r="J41" i="1"/>
  <c r="K41" i="1"/>
  <c r="L41" i="1"/>
  <c r="M41" i="1"/>
  <c r="N41" i="1"/>
  <c r="O41" i="1"/>
  <c r="P41" i="1"/>
  <c r="V41" i="1" s="1"/>
  <c r="Q41" i="1"/>
  <c r="R41" i="1"/>
  <c r="T41" i="1"/>
  <c r="U41" i="1"/>
  <c r="W41" i="1"/>
  <c r="X41" i="1"/>
  <c r="J42" i="1"/>
  <c r="K42" i="1"/>
  <c r="L42" i="1"/>
  <c r="M42" i="1"/>
  <c r="U42" i="1" s="1"/>
  <c r="N42" i="1"/>
  <c r="O42" i="1"/>
  <c r="P42" i="1"/>
  <c r="Q42" i="1"/>
  <c r="V42" i="1" s="1"/>
  <c r="R42" i="1"/>
  <c r="T42" i="1"/>
  <c r="W42" i="1"/>
  <c r="X42" i="1"/>
  <c r="J43" i="1"/>
  <c r="T43" i="1" s="1"/>
  <c r="K43" i="1"/>
  <c r="L43" i="1"/>
  <c r="M43" i="1"/>
  <c r="U43" i="1" s="1"/>
  <c r="N43" i="1"/>
  <c r="O43" i="1"/>
  <c r="P43" i="1"/>
  <c r="Q43" i="1"/>
  <c r="R43" i="1"/>
  <c r="V43" i="1"/>
  <c r="W43" i="1"/>
  <c r="X43" i="1"/>
  <c r="J44" i="1"/>
  <c r="K44" i="1"/>
  <c r="L44" i="1"/>
  <c r="M44" i="1"/>
  <c r="U44" i="1" s="1"/>
  <c r="N44" i="1"/>
  <c r="O44" i="1"/>
  <c r="P44" i="1"/>
  <c r="Q44" i="1"/>
  <c r="R44" i="1"/>
  <c r="T44" i="1"/>
  <c r="V44" i="1"/>
  <c r="W44" i="1"/>
  <c r="X44" i="1"/>
  <c r="J45" i="1"/>
  <c r="K45" i="1"/>
  <c r="L45" i="1"/>
  <c r="M45" i="1"/>
  <c r="N45" i="1"/>
  <c r="O45" i="1"/>
  <c r="P45" i="1"/>
  <c r="V45" i="1" s="1"/>
  <c r="Q45" i="1"/>
  <c r="R45" i="1"/>
  <c r="T45" i="1"/>
  <c r="U45" i="1"/>
  <c r="W45" i="1"/>
  <c r="X45" i="1"/>
  <c r="J46" i="1"/>
  <c r="K46" i="1"/>
  <c r="L46" i="1"/>
  <c r="M46" i="1"/>
  <c r="U46" i="1" s="1"/>
  <c r="N46" i="1"/>
  <c r="O46" i="1"/>
  <c r="P46" i="1"/>
  <c r="Q46" i="1"/>
  <c r="V46" i="1" s="1"/>
  <c r="R46" i="1"/>
  <c r="T46" i="1"/>
  <c r="W46" i="1"/>
  <c r="X46" i="1"/>
  <c r="J47" i="1"/>
  <c r="T47" i="1" s="1"/>
  <c r="K47" i="1"/>
  <c r="L47" i="1"/>
  <c r="M47" i="1"/>
  <c r="U47" i="1" s="1"/>
  <c r="N47" i="1"/>
  <c r="O47" i="1"/>
  <c r="P47" i="1"/>
  <c r="Q47" i="1"/>
  <c r="R47" i="1"/>
  <c r="V47" i="1"/>
  <c r="W47" i="1"/>
  <c r="X47" i="1"/>
  <c r="J48" i="1"/>
  <c r="K48" i="1"/>
  <c r="L48" i="1"/>
  <c r="M48" i="1"/>
  <c r="U48" i="1" s="1"/>
  <c r="N48" i="1"/>
  <c r="O48" i="1"/>
  <c r="P48" i="1"/>
  <c r="Q48" i="1"/>
  <c r="R48" i="1"/>
  <c r="T48" i="1"/>
  <c r="V48" i="1"/>
  <c r="W48" i="1"/>
  <c r="X48" i="1"/>
  <c r="J49" i="1"/>
  <c r="K49" i="1"/>
  <c r="L49" i="1"/>
  <c r="M49" i="1"/>
  <c r="N49" i="1"/>
  <c r="O49" i="1"/>
  <c r="P49" i="1"/>
  <c r="V49" i="1" s="1"/>
  <c r="Q49" i="1"/>
  <c r="R49" i="1"/>
  <c r="T49" i="1"/>
  <c r="W49" i="1"/>
  <c r="X49" i="1"/>
  <c r="J50" i="1"/>
  <c r="K50" i="1"/>
  <c r="L50" i="1"/>
  <c r="M50" i="1"/>
  <c r="U50" i="1" s="1"/>
  <c r="N50" i="1"/>
  <c r="O50" i="1"/>
  <c r="P50" i="1"/>
  <c r="Q50" i="1"/>
  <c r="V50" i="1" s="1"/>
  <c r="R50" i="1"/>
  <c r="T50" i="1"/>
  <c r="W50" i="1"/>
  <c r="X50" i="1"/>
  <c r="J51" i="1"/>
  <c r="T51" i="1" s="1"/>
  <c r="K51" i="1"/>
  <c r="L51" i="1"/>
  <c r="M51" i="1"/>
  <c r="U51" i="1" s="1"/>
  <c r="N51" i="1"/>
  <c r="O51" i="1"/>
  <c r="P51" i="1"/>
  <c r="Q51" i="1"/>
  <c r="R51" i="1"/>
  <c r="W51" i="1" s="1"/>
  <c r="V51" i="1"/>
  <c r="X51" i="1"/>
  <c r="J52" i="1"/>
  <c r="K52" i="1"/>
  <c r="L52" i="1"/>
  <c r="M52" i="1"/>
  <c r="U52" i="1" s="1"/>
  <c r="N52" i="1"/>
  <c r="O52" i="1"/>
  <c r="P52" i="1"/>
  <c r="Q52" i="1"/>
  <c r="R52" i="1"/>
  <c r="T52" i="1"/>
  <c r="V52" i="1"/>
  <c r="W52" i="1"/>
  <c r="X52" i="1"/>
  <c r="J53" i="1"/>
  <c r="K53" i="1"/>
  <c r="L53" i="1"/>
  <c r="M53" i="1"/>
  <c r="N53" i="1"/>
  <c r="O53" i="1"/>
  <c r="P53" i="1"/>
  <c r="V53" i="1" s="1"/>
  <c r="Q53" i="1"/>
  <c r="R53" i="1"/>
  <c r="T53" i="1"/>
  <c r="W53" i="1"/>
  <c r="X53" i="1"/>
  <c r="J54" i="1"/>
  <c r="K54" i="1"/>
  <c r="L54" i="1"/>
  <c r="M54" i="1"/>
  <c r="U54" i="1" s="1"/>
  <c r="N54" i="1"/>
  <c r="O54" i="1"/>
  <c r="P54" i="1"/>
  <c r="Q54" i="1"/>
  <c r="R54" i="1"/>
  <c r="T54" i="1"/>
  <c r="V54" i="1"/>
  <c r="W54" i="1"/>
  <c r="X54" i="1"/>
  <c r="J55" i="1"/>
  <c r="T55" i="1" s="1"/>
  <c r="K55" i="1"/>
  <c r="L55" i="1"/>
  <c r="M55" i="1"/>
  <c r="U55" i="1" s="1"/>
  <c r="N55" i="1"/>
  <c r="O55" i="1"/>
  <c r="P55" i="1"/>
  <c r="Q55" i="1"/>
  <c r="R55" i="1"/>
  <c r="V55" i="1"/>
  <c r="W55" i="1"/>
  <c r="X55" i="1"/>
  <c r="J56" i="1"/>
  <c r="K56" i="1"/>
  <c r="L56" i="1"/>
  <c r="M56" i="1"/>
  <c r="U56" i="1" s="1"/>
  <c r="N56" i="1"/>
  <c r="O56" i="1"/>
  <c r="P56" i="1"/>
  <c r="Q56" i="1"/>
  <c r="R56" i="1"/>
  <c r="T56" i="1"/>
  <c r="V56" i="1"/>
  <c r="W56" i="1"/>
  <c r="X56" i="1"/>
  <c r="J57" i="1"/>
  <c r="K57" i="1"/>
  <c r="L57" i="1"/>
  <c r="M57" i="1"/>
  <c r="N57" i="1"/>
  <c r="O57" i="1"/>
  <c r="P57" i="1"/>
  <c r="V57" i="1" s="1"/>
  <c r="Q57" i="1"/>
  <c r="R57" i="1"/>
  <c r="T57" i="1"/>
  <c r="U57" i="1"/>
  <c r="W57" i="1"/>
  <c r="X57" i="1"/>
  <c r="J58" i="1"/>
  <c r="K58" i="1"/>
  <c r="L58" i="1"/>
  <c r="M58" i="1"/>
  <c r="U58" i="1" s="1"/>
  <c r="N58" i="1"/>
  <c r="O58" i="1"/>
  <c r="P58" i="1"/>
  <c r="Q58" i="1"/>
  <c r="V58" i="1" s="1"/>
  <c r="R58" i="1"/>
  <c r="T58" i="1"/>
  <c r="W58" i="1"/>
  <c r="X58" i="1"/>
  <c r="J59" i="1"/>
  <c r="T59" i="1" s="1"/>
  <c r="K59" i="1"/>
  <c r="L59" i="1"/>
  <c r="M59" i="1"/>
  <c r="U59" i="1" s="1"/>
  <c r="N59" i="1"/>
  <c r="O59" i="1"/>
  <c r="P59" i="1"/>
  <c r="Q59" i="1"/>
  <c r="R59" i="1"/>
  <c r="W59" i="1" s="1"/>
  <c r="V59" i="1"/>
  <c r="X59" i="1"/>
  <c r="J60" i="1"/>
  <c r="K60" i="1"/>
  <c r="L60" i="1"/>
  <c r="M60" i="1"/>
  <c r="U60" i="1" s="1"/>
  <c r="N60" i="1"/>
  <c r="O60" i="1"/>
  <c r="P60" i="1"/>
  <c r="Q60" i="1"/>
  <c r="R60" i="1"/>
  <c r="T60" i="1"/>
  <c r="V60" i="1"/>
  <c r="W60" i="1"/>
  <c r="X60" i="1"/>
  <c r="J61" i="1"/>
  <c r="K61" i="1"/>
  <c r="L61" i="1"/>
  <c r="M61" i="1"/>
  <c r="N61" i="1"/>
  <c r="O61" i="1"/>
  <c r="P61" i="1"/>
  <c r="V61" i="1" s="1"/>
  <c r="Q61" i="1"/>
  <c r="R61" i="1"/>
  <c r="T61" i="1"/>
  <c r="U61" i="1"/>
  <c r="W61" i="1"/>
  <c r="X61" i="1"/>
  <c r="J62" i="1"/>
  <c r="K62" i="1"/>
  <c r="L62" i="1"/>
  <c r="M62" i="1"/>
  <c r="U62" i="1" s="1"/>
  <c r="N62" i="1"/>
  <c r="O62" i="1"/>
  <c r="P62" i="1"/>
  <c r="Q62" i="1"/>
  <c r="R62" i="1"/>
  <c r="T62" i="1"/>
  <c r="V62" i="1"/>
  <c r="W62" i="1"/>
  <c r="X62" i="1"/>
  <c r="J63" i="1"/>
  <c r="T63" i="1" s="1"/>
  <c r="K63" i="1"/>
  <c r="L63" i="1"/>
  <c r="M63" i="1"/>
  <c r="U63" i="1" s="1"/>
  <c r="N63" i="1"/>
  <c r="O63" i="1"/>
  <c r="P63" i="1"/>
  <c r="Q63" i="1"/>
  <c r="R63" i="1"/>
  <c r="W63" i="1" s="1"/>
  <c r="V63" i="1"/>
  <c r="X63" i="1"/>
  <c r="E56" i="1"/>
  <c r="F56" i="1"/>
  <c r="G56" i="1"/>
  <c r="H56" i="1"/>
  <c r="H57" i="1" s="1"/>
  <c r="H58" i="1" s="1"/>
  <c r="H59" i="1" s="1"/>
  <c r="H60" i="1" s="1"/>
  <c r="H61" i="1" s="1"/>
  <c r="H62" i="1" s="1"/>
  <c r="H63" i="1" s="1"/>
  <c r="E57" i="1"/>
  <c r="F57" i="1"/>
  <c r="G57" i="1"/>
  <c r="G58" i="1" s="1"/>
  <c r="G59" i="1" s="1"/>
  <c r="G60" i="1" s="1"/>
  <c r="G61" i="1" s="1"/>
  <c r="G62" i="1" s="1"/>
  <c r="G63" i="1" s="1"/>
  <c r="E58" i="1"/>
  <c r="F58" i="1"/>
  <c r="E59" i="1"/>
  <c r="F59" i="1"/>
  <c r="E60" i="1"/>
  <c r="F60" i="1"/>
  <c r="E61" i="1"/>
  <c r="F61" i="1"/>
  <c r="E62" i="1"/>
  <c r="F62" i="1"/>
  <c r="E63" i="1"/>
  <c r="F63" i="1"/>
  <c r="G55" i="1"/>
  <c r="H55" i="1"/>
  <c r="F55" i="1"/>
  <c r="E55" i="1"/>
  <c r="F54" i="1"/>
  <c r="G54" i="1"/>
  <c r="H54" i="1"/>
  <c r="E54" i="1"/>
  <c r="E46" i="1"/>
  <c r="F46" i="1"/>
  <c r="G46" i="1"/>
  <c r="H46" i="1"/>
  <c r="E47" i="1"/>
  <c r="F47" i="1"/>
  <c r="G47" i="1"/>
  <c r="H47" i="1"/>
  <c r="E48" i="1"/>
  <c r="F48" i="1"/>
  <c r="G48" i="1"/>
  <c r="H48" i="1"/>
  <c r="H49" i="1" s="1"/>
  <c r="H50" i="1" s="1"/>
  <c r="H51" i="1" s="1"/>
  <c r="H52" i="1" s="1"/>
  <c r="H53" i="1" s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G45" i="1"/>
  <c r="H45" i="1"/>
  <c r="F45" i="1"/>
  <c r="E45" i="1"/>
  <c r="F44" i="1"/>
  <c r="G44" i="1"/>
  <c r="H44" i="1"/>
  <c r="E44" i="1"/>
  <c r="E36" i="1"/>
  <c r="F36" i="1"/>
  <c r="G36" i="1"/>
  <c r="H36" i="1"/>
  <c r="E37" i="1"/>
  <c r="F37" i="1"/>
  <c r="G37" i="1"/>
  <c r="H37" i="1"/>
  <c r="E38" i="1"/>
  <c r="F38" i="1"/>
  <c r="G38" i="1"/>
  <c r="H38" i="1"/>
  <c r="H39" i="1" s="1"/>
  <c r="H40" i="1" s="1"/>
  <c r="H41" i="1" s="1"/>
  <c r="H42" i="1" s="1"/>
  <c r="H43" i="1" s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G35" i="1"/>
  <c r="H35" i="1"/>
  <c r="F35" i="1"/>
  <c r="E35" i="1"/>
  <c r="F34" i="1"/>
  <c r="G34" i="1"/>
  <c r="H34" i="1"/>
  <c r="E34" i="1"/>
  <c r="J24" i="1"/>
  <c r="K24" i="1"/>
  <c r="L24" i="1"/>
  <c r="M24" i="1"/>
  <c r="U24" i="1" s="1"/>
  <c r="N24" i="1"/>
  <c r="O24" i="1"/>
  <c r="P24" i="1"/>
  <c r="Q24" i="1"/>
  <c r="R24" i="1"/>
  <c r="T24" i="1"/>
  <c r="V24" i="1"/>
  <c r="W24" i="1"/>
  <c r="X24" i="1"/>
  <c r="J25" i="1"/>
  <c r="T25" i="1" s="1"/>
  <c r="K25" i="1"/>
  <c r="L25" i="1"/>
  <c r="M25" i="1"/>
  <c r="U25" i="1" s="1"/>
  <c r="N25" i="1"/>
  <c r="O25" i="1"/>
  <c r="P25" i="1"/>
  <c r="Q25" i="1"/>
  <c r="R25" i="1"/>
  <c r="W25" i="1" s="1"/>
  <c r="V25" i="1"/>
  <c r="X25" i="1"/>
  <c r="J26" i="1"/>
  <c r="K26" i="1"/>
  <c r="L26" i="1"/>
  <c r="M26" i="1"/>
  <c r="U26" i="1" s="1"/>
  <c r="N26" i="1"/>
  <c r="O26" i="1"/>
  <c r="T26" i="1" s="1"/>
  <c r="P26" i="1"/>
  <c r="Q26" i="1"/>
  <c r="R26" i="1"/>
  <c r="V26" i="1"/>
  <c r="W26" i="1"/>
  <c r="X26" i="1"/>
  <c r="J27" i="1"/>
  <c r="K27" i="1"/>
  <c r="L27" i="1"/>
  <c r="M27" i="1"/>
  <c r="N27" i="1"/>
  <c r="O27" i="1"/>
  <c r="P27" i="1"/>
  <c r="V27" i="1" s="1"/>
  <c r="Q27" i="1"/>
  <c r="R27" i="1"/>
  <c r="T27" i="1"/>
  <c r="U27" i="1"/>
  <c r="W27" i="1"/>
  <c r="X27" i="1"/>
  <c r="J28" i="1"/>
  <c r="K28" i="1"/>
  <c r="L28" i="1"/>
  <c r="M28" i="1"/>
  <c r="U28" i="1" s="1"/>
  <c r="N28" i="1"/>
  <c r="O28" i="1"/>
  <c r="P28" i="1"/>
  <c r="Q28" i="1"/>
  <c r="V28" i="1" s="1"/>
  <c r="R28" i="1"/>
  <c r="T28" i="1"/>
  <c r="W28" i="1"/>
  <c r="X28" i="1"/>
  <c r="J29" i="1"/>
  <c r="T29" i="1" s="1"/>
  <c r="K29" i="1"/>
  <c r="L29" i="1"/>
  <c r="M29" i="1"/>
  <c r="U29" i="1" s="1"/>
  <c r="N29" i="1"/>
  <c r="O29" i="1"/>
  <c r="P29" i="1"/>
  <c r="Q29" i="1"/>
  <c r="R29" i="1"/>
  <c r="W29" i="1" s="1"/>
  <c r="V29" i="1"/>
  <c r="X29" i="1"/>
  <c r="J30" i="1"/>
  <c r="K30" i="1"/>
  <c r="L30" i="1"/>
  <c r="M30" i="1"/>
  <c r="U30" i="1" s="1"/>
  <c r="N30" i="1"/>
  <c r="O30" i="1"/>
  <c r="P30" i="1"/>
  <c r="Q30" i="1"/>
  <c r="R30" i="1"/>
  <c r="T30" i="1"/>
  <c r="V30" i="1"/>
  <c r="W30" i="1"/>
  <c r="X30" i="1"/>
  <c r="J31" i="1"/>
  <c r="K31" i="1"/>
  <c r="L31" i="1"/>
  <c r="M31" i="1"/>
  <c r="N31" i="1"/>
  <c r="O31" i="1"/>
  <c r="P31" i="1"/>
  <c r="V31" i="1" s="1"/>
  <c r="Q31" i="1"/>
  <c r="R31" i="1"/>
  <c r="T31" i="1"/>
  <c r="W31" i="1"/>
  <c r="X31" i="1"/>
  <c r="J32" i="1"/>
  <c r="K32" i="1"/>
  <c r="L32" i="1"/>
  <c r="M32" i="1"/>
  <c r="U32" i="1" s="1"/>
  <c r="N32" i="1"/>
  <c r="O32" i="1"/>
  <c r="P32" i="1"/>
  <c r="Q32" i="1"/>
  <c r="V32" i="1" s="1"/>
  <c r="R32" i="1"/>
  <c r="T32" i="1"/>
  <c r="W32" i="1"/>
  <c r="X32" i="1"/>
  <c r="J33" i="1"/>
  <c r="T33" i="1" s="1"/>
  <c r="K33" i="1"/>
  <c r="L33" i="1"/>
  <c r="M33" i="1"/>
  <c r="N33" i="1"/>
  <c r="O33" i="1"/>
  <c r="P33" i="1"/>
  <c r="Q33" i="1"/>
  <c r="R33" i="1"/>
  <c r="W33" i="1" s="1"/>
  <c r="U33" i="1"/>
  <c r="V33" i="1"/>
  <c r="X33" i="1"/>
  <c r="E26" i="1"/>
  <c r="F26" i="1"/>
  <c r="G26" i="1"/>
  <c r="H26" i="1"/>
  <c r="E27" i="1"/>
  <c r="F27" i="1"/>
  <c r="G27" i="1"/>
  <c r="H27" i="1"/>
  <c r="H28" i="1" s="1"/>
  <c r="H29" i="1" s="1"/>
  <c r="H30" i="1" s="1"/>
  <c r="H31" i="1" s="1"/>
  <c r="H32" i="1" s="1"/>
  <c r="H33" i="1" s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H25" i="1"/>
  <c r="G25" i="1"/>
  <c r="F25" i="1"/>
  <c r="E25" i="1"/>
  <c r="F24" i="1"/>
  <c r="G24" i="1"/>
  <c r="H24" i="1"/>
  <c r="E24" i="1"/>
  <c r="E23" i="1"/>
  <c r="J23" i="1" s="1"/>
  <c r="F23" i="1"/>
  <c r="G23" i="1"/>
  <c r="Q23" i="1" s="1"/>
  <c r="H23" i="1"/>
  <c r="P23" i="1"/>
  <c r="J16" i="1"/>
  <c r="K16" i="1"/>
  <c r="L16" i="1"/>
  <c r="M16" i="1"/>
  <c r="U16" i="1" s="1"/>
  <c r="N16" i="1"/>
  <c r="O16" i="1"/>
  <c r="P16" i="1"/>
  <c r="Q16" i="1"/>
  <c r="V16" i="1" s="1"/>
  <c r="R16" i="1"/>
  <c r="T16" i="1"/>
  <c r="W16" i="1"/>
  <c r="X16" i="1"/>
  <c r="J17" i="1"/>
  <c r="T17" i="1" s="1"/>
  <c r="K17" i="1"/>
  <c r="L17" i="1"/>
  <c r="M17" i="1"/>
  <c r="U17" i="1" s="1"/>
  <c r="N17" i="1"/>
  <c r="O17" i="1"/>
  <c r="P17" i="1"/>
  <c r="Q17" i="1"/>
  <c r="R17" i="1"/>
  <c r="W17" i="1" s="1"/>
  <c r="V17" i="1"/>
  <c r="X17" i="1"/>
  <c r="J18" i="1"/>
  <c r="K18" i="1"/>
  <c r="L18" i="1"/>
  <c r="M18" i="1"/>
  <c r="U18" i="1" s="1"/>
  <c r="N18" i="1"/>
  <c r="O18" i="1"/>
  <c r="P18" i="1"/>
  <c r="Q18" i="1"/>
  <c r="R18" i="1"/>
  <c r="T18" i="1"/>
  <c r="V18" i="1"/>
  <c r="W18" i="1"/>
  <c r="X18" i="1"/>
  <c r="J19" i="1"/>
  <c r="K19" i="1"/>
  <c r="L19" i="1"/>
  <c r="M19" i="1"/>
  <c r="N19" i="1"/>
  <c r="O19" i="1"/>
  <c r="P19" i="1"/>
  <c r="V19" i="1" s="1"/>
  <c r="Q19" i="1"/>
  <c r="R19" i="1"/>
  <c r="T19" i="1"/>
  <c r="W19" i="1"/>
  <c r="X19" i="1"/>
  <c r="J20" i="1"/>
  <c r="K20" i="1"/>
  <c r="L20" i="1"/>
  <c r="M20" i="1"/>
  <c r="U20" i="1" s="1"/>
  <c r="N20" i="1"/>
  <c r="O20" i="1"/>
  <c r="P20" i="1"/>
  <c r="Q20" i="1"/>
  <c r="V20" i="1" s="1"/>
  <c r="R20" i="1"/>
  <c r="T20" i="1"/>
  <c r="W20" i="1"/>
  <c r="X20" i="1"/>
  <c r="J21" i="1"/>
  <c r="T21" i="1" s="1"/>
  <c r="K21" i="1"/>
  <c r="L21" i="1"/>
  <c r="M21" i="1"/>
  <c r="U21" i="1" s="1"/>
  <c r="N21" i="1"/>
  <c r="O21" i="1"/>
  <c r="P21" i="1"/>
  <c r="Q21" i="1"/>
  <c r="R21" i="1"/>
  <c r="W21" i="1" s="1"/>
  <c r="V21" i="1"/>
  <c r="X21" i="1"/>
  <c r="J22" i="1"/>
  <c r="K22" i="1"/>
  <c r="L22" i="1"/>
  <c r="M22" i="1"/>
  <c r="U22" i="1" s="1"/>
  <c r="N22" i="1"/>
  <c r="O22" i="1"/>
  <c r="P22" i="1"/>
  <c r="Q22" i="1"/>
  <c r="R22" i="1"/>
  <c r="T22" i="1"/>
  <c r="V22" i="1"/>
  <c r="W22" i="1"/>
  <c r="X22" i="1"/>
  <c r="K23" i="1"/>
  <c r="X23" i="1" s="1"/>
  <c r="L23" i="1"/>
  <c r="M23" i="1"/>
  <c r="N23" i="1"/>
  <c r="R23" i="1"/>
  <c r="W23" i="1" s="1"/>
  <c r="E16" i="1"/>
  <c r="F16" i="1"/>
  <c r="G16" i="1"/>
  <c r="H16" i="1"/>
  <c r="H17" i="1" s="1"/>
  <c r="H18" i="1" s="1"/>
  <c r="H19" i="1" s="1"/>
  <c r="H20" i="1" s="1"/>
  <c r="H21" i="1" s="1"/>
  <c r="H22" i="1" s="1"/>
  <c r="E17" i="1"/>
  <c r="F17" i="1"/>
  <c r="G17" i="1"/>
  <c r="E18" i="1"/>
  <c r="F18" i="1"/>
  <c r="G18" i="1"/>
  <c r="G19" i="1" s="1"/>
  <c r="G20" i="1" s="1"/>
  <c r="G21" i="1" s="1"/>
  <c r="G22" i="1" s="1"/>
  <c r="E19" i="1"/>
  <c r="F19" i="1"/>
  <c r="E20" i="1"/>
  <c r="F20" i="1"/>
  <c r="E21" i="1"/>
  <c r="F21" i="1"/>
  <c r="E22" i="1"/>
  <c r="F22" i="1"/>
  <c r="H15" i="1"/>
  <c r="P15" i="1" s="1"/>
  <c r="G15" i="1"/>
  <c r="M15" i="1" s="1"/>
  <c r="Q15" i="1"/>
  <c r="R15" i="1"/>
  <c r="W15" i="1" s="1"/>
  <c r="F15" i="1"/>
  <c r="K15" i="1" s="1"/>
  <c r="X15" i="1" s="1"/>
  <c r="E15" i="1"/>
  <c r="J15" i="1" s="1"/>
  <c r="L15" i="1"/>
  <c r="N15" i="1"/>
  <c r="T6" i="1"/>
  <c r="U6" i="1"/>
  <c r="V6" i="1"/>
  <c r="W6" i="1"/>
  <c r="X6" i="1"/>
  <c r="T7" i="1"/>
  <c r="U7" i="1"/>
  <c r="V7" i="1"/>
  <c r="W7" i="1"/>
  <c r="X7" i="1"/>
  <c r="T8" i="1"/>
  <c r="U8" i="1"/>
  <c r="V8" i="1"/>
  <c r="W8" i="1"/>
  <c r="X8" i="1"/>
  <c r="T9" i="1"/>
  <c r="U9" i="1"/>
  <c r="V9" i="1"/>
  <c r="W9" i="1"/>
  <c r="X9" i="1"/>
  <c r="T10" i="1"/>
  <c r="U10" i="1"/>
  <c r="V10" i="1"/>
  <c r="W10" i="1"/>
  <c r="X10" i="1"/>
  <c r="T11" i="1"/>
  <c r="U11" i="1"/>
  <c r="V11" i="1"/>
  <c r="W11" i="1"/>
  <c r="X11" i="1"/>
  <c r="T12" i="1"/>
  <c r="U12" i="1"/>
  <c r="V12" i="1"/>
  <c r="W12" i="1"/>
  <c r="X12" i="1"/>
  <c r="T13" i="1"/>
  <c r="U13" i="1"/>
  <c r="V13" i="1"/>
  <c r="W13" i="1"/>
  <c r="X13" i="1"/>
  <c r="T14" i="1"/>
  <c r="U14" i="1"/>
  <c r="V14" i="1"/>
  <c r="W14" i="1"/>
  <c r="X14" i="1"/>
  <c r="J6" i="1"/>
  <c r="K6" i="1"/>
  <c r="L6" i="1"/>
  <c r="M6" i="1"/>
  <c r="N6" i="1"/>
  <c r="O6" i="1"/>
  <c r="P6" i="1"/>
  <c r="Q6" i="1"/>
  <c r="R6" i="1"/>
  <c r="J7" i="1"/>
  <c r="K7" i="1"/>
  <c r="L7" i="1"/>
  <c r="M7" i="1"/>
  <c r="N7" i="1"/>
  <c r="O7" i="1"/>
  <c r="P7" i="1"/>
  <c r="Q7" i="1"/>
  <c r="R7" i="1"/>
  <c r="J8" i="1"/>
  <c r="K8" i="1"/>
  <c r="L8" i="1"/>
  <c r="M8" i="1"/>
  <c r="N8" i="1"/>
  <c r="O8" i="1"/>
  <c r="P8" i="1"/>
  <c r="Q8" i="1"/>
  <c r="R8" i="1"/>
  <c r="J9" i="1"/>
  <c r="K9" i="1"/>
  <c r="L9" i="1"/>
  <c r="M9" i="1"/>
  <c r="N9" i="1"/>
  <c r="O9" i="1"/>
  <c r="P9" i="1"/>
  <c r="Q9" i="1"/>
  <c r="R9" i="1"/>
  <c r="J10" i="1"/>
  <c r="K10" i="1"/>
  <c r="L10" i="1"/>
  <c r="M10" i="1"/>
  <c r="N10" i="1"/>
  <c r="O10" i="1"/>
  <c r="P10" i="1"/>
  <c r="Q10" i="1"/>
  <c r="R10" i="1"/>
  <c r="J11" i="1"/>
  <c r="K11" i="1"/>
  <c r="L11" i="1"/>
  <c r="M11" i="1"/>
  <c r="N11" i="1"/>
  <c r="O11" i="1"/>
  <c r="P11" i="1"/>
  <c r="Q11" i="1"/>
  <c r="R11" i="1"/>
  <c r="J12" i="1"/>
  <c r="K12" i="1"/>
  <c r="L12" i="1"/>
  <c r="M12" i="1"/>
  <c r="N12" i="1"/>
  <c r="O12" i="1"/>
  <c r="P12" i="1"/>
  <c r="Q12" i="1"/>
  <c r="R12" i="1"/>
  <c r="J13" i="1"/>
  <c r="K13" i="1"/>
  <c r="L13" i="1"/>
  <c r="M13" i="1"/>
  <c r="N13" i="1"/>
  <c r="O13" i="1"/>
  <c r="P13" i="1"/>
  <c r="Q13" i="1"/>
  <c r="R13" i="1"/>
  <c r="J14" i="1"/>
  <c r="K14" i="1"/>
  <c r="L14" i="1"/>
  <c r="M14" i="1"/>
  <c r="N14" i="1"/>
  <c r="O14" i="1"/>
  <c r="P14" i="1"/>
  <c r="Q14" i="1"/>
  <c r="R14" i="1"/>
  <c r="Q5" i="1"/>
  <c r="P5" i="1"/>
  <c r="N5" i="1"/>
  <c r="L5" i="1"/>
  <c r="H14" i="1"/>
  <c r="G14" i="1"/>
  <c r="F14" i="1"/>
  <c r="E14" i="1"/>
  <c r="J5" i="1"/>
  <c r="R5" i="1"/>
  <c r="W5" i="1" s="1"/>
  <c r="O5" i="1"/>
  <c r="M5" i="1"/>
  <c r="K5" i="1"/>
  <c r="X5" i="1" s="1"/>
  <c r="U53" i="1" l="1"/>
  <c r="U37" i="1"/>
  <c r="U49" i="1"/>
  <c r="U31" i="1"/>
  <c r="V23" i="1"/>
  <c r="O23" i="1"/>
  <c r="T23" i="1" s="1"/>
  <c r="U23" i="1"/>
  <c r="U19" i="1"/>
  <c r="U15" i="1"/>
  <c r="V15" i="1"/>
  <c r="O15" i="1"/>
  <c r="T15" i="1" s="1"/>
  <c r="V5" i="1"/>
  <c r="U5" i="1"/>
  <c r="T5" i="1"/>
</calcChain>
</file>

<file path=xl/sharedStrings.xml><?xml version="1.0" encoding="utf-8"?>
<sst xmlns="http://schemas.openxmlformats.org/spreadsheetml/2006/main" count="222" uniqueCount="139">
  <si>
    <t>等级</t>
  </si>
  <si>
    <t>名称</t>
  </si>
  <si>
    <t>大境界</t>
  </si>
  <si>
    <t>修为</t>
  </si>
  <si>
    <t>level</t>
  </si>
  <si>
    <t>name</t>
  </si>
  <si>
    <t>realm</t>
  </si>
  <si>
    <t>xiuwei</t>
  </si>
  <si>
    <t>int</t>
  </si>
  <si>
    <t>string</t>
  </si>
  <si>
    <t>k1</t>
  </si>
  <si>
    <t>炼气一层</t>
  </si>
  <si>
    <t>lianqi</t>
  </si>
  <si>
    <t>炼气二层</t>
  </si>
  <si>
    <t>炼气三层</t>
  </si>
  <si>
    <t>炼气四层</t>
  </si>
  <si>
    <t>炼气五层</t>
  </si>
  <si>
    <t>炼气六层</t>
  </si>
  <si>
    <t>炼气七层</t>
  </si>
  <si>
    <t>炼气八层</t>
  </si>
  <si>
    <t>炼气九层</t>
  </si>
  <si>
    <t>筑基一层</t>
  </si>
  <si>
    <t>zhuji</t>
  </si>
  <si>
    <t>筑基二层</t>
  </si>
  <si>
    <t>筑基三层</t>
  </si>
  <si>
    <t>筑基四层</t>
  </si>
  <si>
    <t>筑基五层</t>
  </si>
  <si>
    <t>筑基六层</t>
  </si>
  <si>
    <t>筑基七层</t>
  </si>
  <si>
    <t>筑基八层</t>
  </si>
  <si>
    <t>筑基九层</t>
  </si>
  <si>
    <t>筑基十层</t>
  </si>
  <si>
    <t>金丹一层</t>
  </si>
  <si>
    <t>jindan</t>
  </si>
  <si>
    <t>金丹二层</t>
  </si>
  <si>
    <t>金丹三层</t>
  </si>
  <si>
    <t>金丹四层</t>
  </si>
  <si>
    <t>金丹五层</t>
  </si>
  <si>
    <t>金丹六层</t>
  </si>
  <si>
    <t>金丹七层</t>
  </si>
  <si>
    <t>金丹八层</t>
  </si>
  <si>
    <t>金丹九层</t>
  </si>
  <si>
    <t>金丹十层</t>
  </si>
  <si>
    <t>元婴一层</t>
  </si>
  <si>
    <t>yuanying</t>
  </si>
  <si>
    <t>元婴二层</t>
  </si>
  <si>
    <t>元婴三层</t>
  </si>
  <si>
    <t>元婴四层</t>
  </si>
  <si>
    <t>元婴五层</t>
  </si>
  <si>
    <t>元婴六层</t>
  </si>
  <si>
    <t>元婴七层</t>
  </si>
  <si>
    <t>元婴八层</t>
  </si>
  <si>
    <t>元婴九层</t>
  </si>
  <si>
    <t>元婴十层</t>
  </si>
  <si>
    <t>化神一层</t>
  </si>
  <si>
    <t>huashen</t>
  </si>
  <si>
    <t>化神二层</t>
  </si>
  <si>
    <t>化神三层</t>
  </si>
  <si>
    <t>化神四层</t>
  </si>
  <si>
    <t>化神五层</t>
  </si>
  <si>
    <t>化神六层</t>
  </si>
  <si>
    <t>化神七层</t>
  </si>
  <si>
    <t>化神八层</t>
  </si>
  <si>
    <t>化神九层</t>
  </si>
  <si>
    <t>化神十层</t>
  </si>
  <si>
    <t>炼虚一层</t>
  </si>
  <si>
    <t>lianxu</t>
  </si>
  <si>
    <t>炼虚二层</t>
  </si>
  <si>
    <t>炼虚三层</t>
  </si>
  <si>
    <t>炼虚四层</t>
  </si>
  <si>
    <t>炼虚五层</t>
  </si>
  <si>
    <t>炼虚六层</t>
  </si>
  <si>
    <t>炼虚七层</t>
  </si>
  <si>
    <t>炼虚八层</t>
  </si>
  <si>
    <t>炼虚九层</t>
  </si>
  <si>
    <t>炼虚十层</t>
  </si>
  <si>
    <t>合体一层</t>
  </si>
  <si>
    <t>heti</t>
  </si>
  <si>
    <t>合体二层</t>
  </si>
  <si>
    <t>合体三层</t>
  </si>
  <si>
    <t>合体四层</t>
  </si>
  <si>
    <t>合体五层</t>
  </si>
  <si>
    <t>合体六层</t>
  </si>
  <si>
    <t>合体七层</t>
  </si>
  <si>
    <t>合体八层</t>
  </si>
  <si>
    <t>合体九层</t>
  </si>
  <si>
    <t>合体十层</t>
  </si>
  <si>
    <t>大乘一层</t>
  </si>
  <si>
    <t>dacheng</t>
  </si>
  <si>
    <t>大乘二层</t>
  </si>
  <si>
    <t>大乘三层</t>
  </si>
  <si>
    <t>大乘四层</t>
  </si>
  <si>
    <t>大乘五层</t>
  </si>
  <si>
    <t>大乘六层</t>
  </si>
  <si>
    <t>大乘七层</t>
  </si>
  <si>
    <t>大乘八层</t>
  </si>
  <si>
    <t>大乘九层</t>
  </si>
  <si>
    <t>大乘十层</t>
  </si>
  <si>
    <t>渡劫一层</t>
  </si>
  <si>
    <t>dujie</t>
  </si>
  <si>
    <t>渡劫二层</t>
  </si>
  <si>
    <t>渡劫三层</t>
  </si>
  <si>
    <t>渡劫四层</t>
  </si>
  <si>
    <t>渡劫五层</t>
  </si>
  <si>
    <t>渡劫六层</t>
  </si>
  <si>
    <t>渡劫七层</t>
  </si>
  <si>
    <t>渡劫八层</t>
  </si>
  <si>
    <t>渡劫九层</t>
  </si>
  <si>
    <t>渡劫十层</t>
  </si>
  <si>
    <t>渡劫十一层</t>
  </si>
  <si>
    <t>速度</t>
  </si>
  <si>
    <t>roushen</t>
  </si>
  <si>
    <t>lingli</t>
  </si>
  <si>
    <t>shenfa</t>
  </si>
  <si>
    <t>shenshi</t>
  </si>
  <si>
    <t>肉身</t>
    <phoneticPr fontId="1" type="noConversion"/>
  </si>
  <si>
    <t>灵力</t>
    <phoneticPr fontId="1" type="noConversion"/>
  </si>
  <si>
    <t>神识</t>
    <phoneticPr fontId="1" type="noConversion"/>
  </si>
  <si>
    <t>身法</t>
    <phoneticPr fontId="1" type="noConversion"/>
  </si>
  <si>
    <t>气血</t>
    <phoneticPr fontId="1" type="noConversion"/>
  </si>
  <si>
    <t>法力</t>
    <phoneticPr fontId="1" type="noConversion"/>
  </si>
  <si>
    <t>物攻</t>
    <phoneticPr fontId="1" type="noConversion"/>
  </si>
  <si>
    <t>法攻</t>
    <phoneticPr fontId="1" type="noConversion"/>
  </si>
  <si>
    <t>物防</t>
    <phoneticPr fontId="1" type="noConversion"/>
  </si>
  <si>
    <t>法防</t>
    <phoneticPr fontId="1" type="noConversion"/>
  </si>
  <si>
    <t>控制强度</t>
  </si>
  <si>
    <t>控制抗性</t>
  </si>
  <si>
    <t>战斗力 =</t>
  </si>
  <si>
    <t>气血 × (1 + 物防 / 1000 × 0.5 + 法防 / 1000 × 0.5) × 0.3</t>
  </si>
  <si>
    <t>+ (物攻 × 0.5 + 法攻 × 0.5) × 速度 / 100 × 5</t>
  </si>
  <si>
    <t>+ 控制强度 × 速度 / 100 × 2</t>
  </si>
  <si>
    <t>+ 控制抗性 × 1.5</t>
  </si>
  <si>
    <t>+ 法力 × 0.3</t>
  </si>
  <si>
    <t>输出评分</t>
  </si>
  <si>
    <t>控制评分</t>
  </si>
  <si>
    <t>抗控评分</t>
  </si>
  <si>
    <t>法力评分</t>
  </si>
  <si>
    <t>生存评分</t>
    <phoneticPr fontId="1" type="noConversion"/>
  </si>
  <si>
    <t>属性评分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</si>
</sst>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0"/>
      <color theme="1"/>
      <name val="Arial Unicode MS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4"/>
  <sheetViews>
    <sheetView tabSelected="1" topLeftCell="C1" zoomScaleNormal="100" workbookViewId="0">
      <selection activeCell="J2" sqref="J2"/>
    </sheetView>
  </sheetViews>
  <sheetFormatPr defaultRowHeight="13.5" x14ac:dyDescent="0.15"/>
  <cols>
    <col min="9" max="9" width="7.5" customWidth="1"/>
    <col min="21" max="21" width="11.75" customWidth="1"/>
    <col min="22" max="22" width="8.5" customWidth="1"/>
  </cols>
  <sheetData>
    <row r="1" spans="1:27" x14ac:dyDescent="0.15">
      <c r="A1" t="s">
        <v>0</v>
      </c>
      <c r="B1" t="s">
        <v>1</v>
      </c>
      <c r="C1" t="s">
        <v>2</v>
      </c>
      <c r="D1" t="s">
        <v>3</v>
      </c>
      <c r="E1" s="1" t="s">
        <v>115</v>
      </c>
      <c r="F1" s="1" t="s">
        <v>116</v>
      </c>
      <c r="G1" s="1" t="s">
        <v>117</v>
      </c>
      <c r="H1" s="1" t="s">
        <v>118</v>
      </c>
      <c r="J1" s="1" t="s">
        <v>119</v>
      </c>
      <c r="K1" t="s">
        <v>120</v>
      </c>
      <c r="L1" t="s">
        <v>121</v>
      </c>
      <c r="M1" t="s">
        <v>122</v>
      </c>
      <c r="N1" t="s">
        <v>123</v>
      </c>
      <c r="O1" t="s">
        <v>124</v>
      </c>
      <c r="P1" t="s">
        <v>110</v>
      </c>
      <c r="Q1" t="s">
        <v>125</v>
      </c>
      <c r="R1" t="s">
        <v>126</v>
      </c>
    </row>
    <row r="2" spans="1:27" ht="15.75" x14ac:dyDescent="0.3">
      <c r="A2" t="s">
        <v>4</v>
      </c>
      <c r="B2" t="s">
        <v>5</v>
      </c>
      <c r="C2" t="s">
        <v>6</v>
      </c>
      <c r="D2" t="s">
        <v>7</v>
      </c>
      <c r="E2" s="3" t="s">
        <v>111</v>
      </c>
      <c r="F2" s="3" t="s">
        <v>112</v>
      </c>
      <c r="G2" s="3" t="s">
        <v>114</v>
      </c>
      <c r="H2" s="3" t="s">
        <v>113</v>
      </c>
    </row>
    <row r="3" spans="1:27" x14ac:dyDescent="0.15">
      <c r="A3" t="s">
        <v>8</v>
      </c>
      <c r="B3" t="s">
        <v>9</v>
      </c>
      <c r="C3" t="s">
        <v>9</v>
      </c>
      <c r="D3" t="s">
        <v>8</v>
      </c>
      <c r="T3" t="s">
        <v>137</v>
      </c>
      <c r="U3" t="s">
        <v>133</v>
      </c>
      <c r="V3" t="s">
        <v>134</v>
      </c>
      <c r="W3" t="s">
        <v>135</v>
      </c>
      <c r="X3" t="s">
        <v>136</v>
      </c>
      <c r="Y3" t="s">
        <v>138</v>
      </c>
      <c r="AA3" t="s">
        <v>127</v>
      </c>
    </row>
    <row r="4" spans="1:27" x14ac:dyDescent="0.15">
      <c r="A4" t="s">
        <v>10</v>
      </c>
      <c r="AA4" t="s">
        <v>128</v>
      </c>
    </row>
    <row r="5" spans="1:27" ht="15.75" x14ac:dyDescent="0.3">
      <c r="A5">
        <v>1</v>
      </c>
      <c r="B5" t="s">
        <v>11</v>
      </c>
      <c r="C5" t="s">
        <v>12</v>
      </c>
      <c r="D5">
        <v>300</v>
      </c>
      <c r="E5" s="2">
        <v>10</v>
      </c>
      <c r="F5" s="2">
        <v>5</v>
      </c>
      <c r="G5" s="2">
        <v>5</v>
      </c>
      <c r="H5" s="2">
        <v>10</v>
      </c>
      <c r="J5" s="3">
        <f xml:space="preserve"> 50 +E5*10</f>
        <v>150</v>
      </c>
      <c r="K5" s="3">
        <f xml:space="preserve"> 50 +F5*5</f>
        <v>75</v>
      </c>
      <c r="L5" s="3">
        <f t="shared" ref="L5:L13" si="0" xml:space="preserve"> E5*2</f>
        <v>20</v>
      </c>
      <c r="M5">
        <f>F5*2.5+G5*0.8</f>
        <v>16.5</v>
      </c>
      <c r="N5">
        <f>E5*1.2</f>
        <v>12</v>
      </c>
      <c r="O5">
        <f>F5*1.2+G5*1.2</f>
        <v>12</v>
      </c>
      <c r="P5">
        <f xml:space="preserve"> 50+H5*3 + G5*1.5</f>
        <v>87.5</v>
      </c>
      <c r="Q5">
        <f>G5*2+F5</f>
        <v>15</v>
      </c>
      <c r="R5">
        <f>G5*2 + E5</f>
        <v>20</v>
      </c>
      <c r="T5">
        <f>J5*(1+N5/1000*0.5 + O5/1000*0.5)*0.3</f>
        <v>45.54</v>
      </c>
      <c r="U5">
        <f>(L5*0.5+M5*0.5)*P5/100*5</f>
        <v>79.84375</v>
      </c>
      <c r="V5">
        <f>Q5*P5/100*2</f>
        <v>26.25</v>
      </c>
      <c r="W5">
        <f>R5*1.5</f>
        <v>30</v>
      </c>
      <c r="X5">
        <f>K5*0.3</f>
        <v>22.5</v>
      </c>
      <c r="Y5">
        <f>FLOOR(SUM(T5:X5),1)</f>
        <v>204</v>
      </c>
      <c r="AA5" t="s">
        <v>129</v>
      </c>
    </row>
    <row r="6" spans="1:27" ht="15.75" x14ac:dyDescent="0.3">
      <c r="A6">
        <v>2</v>
      </c>
      <c r="B6" t="s">
        <v>13</v>
      </c>
      <c r="C6" t="s">
        <v>12</v>
      </c>
      <c r="D6">
        <v>467</v>
      </c>
      <c r="E6">
        <v>12</v>
      </c>
      <c r="F6">
        <v>6</v>
      </c>
      <c r="G6">
        <v>6</v>
      </c>
      <c r="H6">
        <v>11</v>
      </c>
      <c r="J6" s="3">
        <f t="shared" ref="J6:J15" si="1" xml:space="preserve"> 50 +E6*10</f>
        <v>170</v>
      </c>
      <c r="K6" s="3">
        <f t="shared" ref="K6:K15" si="2" xml:space="preserve"> 50 +F6*5</f>
        <v>80</v>
      </c>
      <c r="L6" s="3">
        <f t="shared" ref="L6:L15" si="3" xml:space="preserve"> E6*2</f>
        <v>24</v>
      </c>
      <c r="M6">
        <f t="shared" ref="M6:M15" si="4">F6*2.5+G6*0.8</f>
        <v>19.8</v>
      </c>
      <c r="N6">
        <f t="shared" ref="N6:N15" si="5">E6*1.2</f>
        <v>14.399999999999999</v>
      </c>
      <c r="O6">
        <f t="shared" ref="O6:O15" si="6">F6*1.2+G6*1.2</f>
        <v>14.399999999999999</v>
      </c>
      <c r="P6">
        <f t="shared" ref="P6:P15" si="7" xml:space="preserve"> 50+H6*3 + G6*1.5</f>
        <v>92</v>
      </c>
      <c r="Q6">
        <f t="shared" ref="Q6:Q15" si="8">G6*2+F6</f>
        <v>18</v>
      </c>
      <c r="R6">
        <f t="shared" ref="R6:R15" si="9">G6*2 + E6</f>
        <v>24</v>
      </c>
      <c r="T6">
        <f t="shared" ref="T6:T15" si="10">J6*(1+N6/1000*0.5 + O6/1000*0.5)*0.3</f>
        <v>51.734400000000008</v>
      </c>
      <c r="U6">
        <f t="shared" ref="U6:U15" si="11">(L6*0.5+M6*0.5)*P6/100*5</f>
        <v>100.74</v>
      </c>
      <c r="V6">
        <f t="shared" ref="V6:V15" si="12">Q6*P6/100*2</f>
        <v>33.119999999999997</v>
      </c>
      <c r="W6">
        <f t="shared" ref="W6:W15" si="13">R6*1.5</f>
        <v>36</v>
      </c>
      <c r="X6">
        <f t="shared" ref="X6:X15" si="14">K6*0.3</f>
        <v>24</v>
      </c>
      <c r="Y6">
        <f t="shared" ref="Y6:Y63" si="15">FLOOR(SUM(T6:X6),1)</f>
        <v>245</v>
      </c>
      <c r="AA6" t="s">
        <v>130</v>
      </c>
    </row>
    <row r="7" spans="1:27" ht="15.75" x14ac:dyDescent="0.3">
      <c r="A7">
        <v>3</v>
      </c>
      <c r="B7" t="s">
        <v>14</v>
      </c>
      <c r="C7" t="s">
        <v>12</v>
      </c>
      <c r="D7">
        <v>633</v>
      </c>
      <c r="E7" s="2">
        <v>14</v>
      </c>
      <c r="F7" s="2">
        <v>7</v>
      </c>
      <c r="G7" s="2">
        <v>7</v>
      </c>
      <c r="H7" s="2">
        <v>12</v>
      </c>
      <c r="J7" s="3">
        <f t="shared" si="1"/>
        <v>190</v>
      </c>
      <c r="K7" s="3">
        <f t="shared" si="2"/>
        <v>85</v>
      </c>
      <c r="L7" s="3">
        <f t="shared" si="3"/>
        <v>28</v>
      </c>
      <c r="M7">
        <f t="shared" si="4"/>
        <v>23.1</v>
      </c>
      <c r="N7">
        <f t="shared" si="5"/>
        <v>16.8</v>
      </c>
      <c r="O7">
        <f t="shared" si="6"/>
        <v>16.8</v>
      </c>
      <c r="P7">
        <f t="shared" si="7"/>
        <v>96.5</v>
      </c>
      <c r="Q7">
        <f t="shared" si="8"/>
        <v>21</v>
      </c>
      <c r="R7">
        <f t="shared" si="9"/>
        <v>28</v>
      </c>
      <c r="T7">
        <f t="shared" si="10"/>
        <v>57.957599999999992</v>
      </c>
      <c r="U7">
        <f t="shared" si="11"/>
        <v>123.27875</v>
      </c>
      <c r="V7">
        <f t="shared" si="12"/>
        <v>40.53</v>
      </c>
      <c r="W7">
        <f t="shared" si="13"/>
        <v>42</v>
      </c>
      <c r="X7">
        <f t="shared" si="14"/>
        <v>25.5</v>
      </c>
      <c r="Y7">
        <f t="shared" si="15"/>
        <v>289</v>
      </c>
      <c r="AA7" t="s">
        <v>131</v>
      </c>
    </row>
    <row r="8" spans="1:27" ht="15.75" x14ac:dyDescent="0.3">
      <c r="A8">
        <v>4</v>
      </c>
      <c r="B8" t="s">
        <v>15</v>
      </c>
      <c r="C8" t="s">
        <v>12</v>
      </c>
      <c r="D8">
        <v>800</v>
      </c>
      <c r="E8">
        <v>16</v>
      </c>
      <c r="F8">
        <v>8</v>
      </c>
      <c r="G8">
        <v>8</v>
      </c>
      <c r="H8">
        <v>13</v>
      </c>
      <c r="J8" s="3">
        <f t="shared" si="1"/>
        <v>210</v>
      </c>
      <c r="K8" s="3">
        <f t="shared" si="2"/>
        <v>90</v>
      </c>
      <c r="L8" s="3">
        <f t="shared" si="3"/>
        <v>32</v>
      </c>
      <c r="M8">
        <f t="shared" si="4"/>
        <v>26.4</v>
      </c>
      <c r="N8">
        <f t="shared" si="5"/>
        <v>19.2</v>
      </c>
      <c r="O8">
        <f t="shared" si="6"/>
        <v>19.2</v>
      </c>
      <c r="P8">
        <f t="shared" si="7"/>
        <v>101</v>
      </c>
      <c r="Q8">
        <f t="shared" si="8"/>
        <v>24</v>
      </c>
      <c r="R8">
        <f t="shared" si="9"/>
        <v>32</v>
      </c>
      <c r="T8">
        <f t="shared" si="10"/>
        <v>64.209599999999995</v>
      </c>
      <c r="U8">
        <f t="shared" si="11"/>
        <v>147.45999999999998</v>
      </c>
      <c r="V8">
        <f t="shared" si="12"/>
        <v>48.48</v>
      </c>
      <c r="W8">
        <f t="shared" si="13"/>
        <v>48</v>
      </c>
      <c r="X8">
        <f t="shared" si="14"/>
        <v>27</v>
      </c>
      <c r="Y8">
        <f t="shared" si="15"/>
        <v>335</v>
      </c>
      <c r="AA8" t="s">
        <v>132</v>
      </c>
    </row>
    <row r="9" spans="1:27" ht="15.75" x14ac:dyDescent="0.3">
      <c r="A9">
        <v>5</v>
      </c>
      <c r="B9" t="s">
        <v>16</v>
      </c>
      <c r="C9" t="s">
        <v>12</v>
      </c>
      <c r="D9">
        <v>1067</v>
      </c>
      <c r="E9" s="2">
        <v>18</v>
      </c>
      <c r="F9" s="2">
        <v>9</v>
      </c>
      <c r="G9" s="2">
        <v>9</v>
      </c>
      <c r="H9" s="2">
        <v>14</v>
      </c>
      <c r="J9" s="3">
        <f t="shared" si="1"/>
        <v>230</v>
      </c>
      <c r="K9" s="3">
        <f t="shared" si="2"/>
        <v>95</v>
      </c>
      <c r="L9" s="3">
        <f t="shared" si="3"/>
        <v>36</v>
      </c>
      <c r="M9">
        <f t="shared" si="4"/>
        <v>29.7</v>
      </c>
      <c r="N9">
        <f t="shared" si="5"/>
        <v>21.599999999999998</v>
      </c>
      <c r="O9">
        <f t="shared" si="6"/>
        <v>21.599999999999998</v>
      </c>
      <c r="P9">
        <f t="shared" si="7"/>
        <v>105.5</v>
      </c>
      <c r="Q9">
        <f t="shared" si="8"/>
        <v>27</v>
      </c>
      <c r="R9">
        <f t="shared" si="9"/>
        <v>36</v>
      </c>
      <c r="T9">
        <f t="shared" si="10"/>
        <v>70.49039999999998</v>
      </c>
      <c r="U9">
        <f t="shared" si="11"/>
        <v>173.28375</v>
      </c>
      <c r="V9">
        <f t="shared" si="12"/>
        <v>56.97</v>
      </c>
      <c r="W9">
        <f t="shared" si="13"/>
        <v>54</v>
      </c>
      <c r="X9">
        <f t="shared" si="14"/>
        <v>28.5</v>
      </c>
      <c r="Y9">
        <f t="shared" si="15"/>
        <v>383</v>
      </c>
    </row>
    <row r="10" spans="1:27" ht="15.75" x14ac:dyDescent="0.3">
      <c r="A10">
        <v>6</v>
      </c>
      <c r="B10" t="s">
        <v>17</v>
      </c>
      <c r="C10" t="s">
        <v>12</v>
      </c>
      <c r="D10">
        <v>1333</v>
      </c>
      <c r="E10">
        <v>20</v>
      </c>
      <c r="F10">
        <v>10</v>
      </c>
      <c r="G10">
        <v>10</v>
      </c>
      <c r="H10">
        <v>15</v>
      </c>
      <c r="J10" s="3">
        <f t="shared" si="1"/>
        <v>250</v>
      </c>
      <c r="K10" s="3">
        <f t="shared" si="2"/>
        <v>100</v>
      </c>
      <c r="L10" s="3">
        <f t="shared" si="3"/>
        <v>40</v>
      </c>
      <c r="M10">
        <f t="shared" si="4"/>
        <v>33</v>
      </c>
      <c r="N10">
        <f t="shared" si="5"/>
        <v>24</v>
      </c>
      <c r="O10">
        <f t="shared" si="6"/>
        <v>24</v>
      </c>
      <c r="P10">
        <f t="shared" si="7"/>
        <v>110</v>
      </c>
      <c r="Q10">
        <f t="shared" si="8"/>
        <v>30</v>
      </c>
      <c r="R10">
        <f t="shared" si="9"/>
        <v>40</v>
      </c>
      <c r="T10">
        <f t="shared" si="10"/>
        <v>76.8</v>
      </c>
      <c r="U10">
        <f t="shared" si="11"/>
        <v>200.75</v>
      </c>
      <c r="V10">
        <f t="shared" si="12"/>
        <v>66</v>
      </c>
      <c r="W10">
        <f t="shared" si="13"/>
        <v>60</v>
      </c>
      <c r="X10">
        <f t="shared" si="14"/>
        <v>30</v>
      </c>
      <c r="Y10">
        <f t="shared" si="15"/>
        <v>433</v>
      </c>
    </row>
    <row r="11" spans="1:27" ht="15.75" x14ac:dyDescent="0.3">
      <c r="A11">
        <v>7</v>
      </c>
      <c r="B11" t="s">
        <v>18</v>
      </c>
      <c r="C11" t="s">
        <v>12</v>
      </c>
      <c r="D11">
        <v>1600</v>
      </c>
      <c r="E11" s="2">
        <v>22</v>
      </c>
      <c r="F11" s="2">
        <v>11</v>
      </c>
      <c r="G11" s="2">
        <v>11</v>
      </c>
      <c r="H11" s="2">
        <v>16</v>
      </c>
      <c r="J11" s="3">
        <f t="shared" si="1"/>
        <v>270</v>
      </c>
      <c r="K11" s="3">
        <f t="shared" si="2"/>
        <v>105</v>
      </c>
      <c r="L11" s="3">
        <f t="shared" si="3"/>
        <v>44</v>
      </c>
      <c r="M11">
        <f t="shared" si="4"/>
        <v>36.299999999999997</v>
      </c>
      <c r="N11">
        <f t="shared" si="5"/>
        <v>26.4</v>
      </c>
      <c r="O11">
        <f t="shared" si="6"/>
        <v>26.4</v>
      </c>
      <c r="P11">
        <f t="shared" si="7"/>
        <v>114.5</v>
      </c>
      <c r="Q11">
        <f t="shared" si="8"/>
        <v>33</v>
      </c>
      <c r="R11">
        <f t="shared" si="9"/>
        <v>44</v>
      </c>
      <c r="T11">
        <f t="shared" si="10"/>
        <v>83.138400000000004</v>
      </c>
      <c r="U11">
        <f t="shared" si="11"/>
        <v>229.85874999999999</v>
      </c>
      <c r="V11">
        <f t="shared" si="12"/>
        <v>75.569999999999993</v>
      </c>
      <c r="W11">
        <f t="shared" si="13"/>
        <v>66</v>
      </c>
      <c r="X11">
        <f t="shared" si="14"/>
        <v>31.5</v>
      </c>
      <c r="Y11">
        <f t="shared" si="15"/>
        <v>486</v>
      </c>
    </row>
    <row r="12" spans="1:27" ht="15.75" x14ac:dyDescent="0.3">
      <c r="A12">
        <v>8</v>
      </c>
      <c r="B12" t="s">
        <v>19</v>
      </c>
      <c r="C12" t="s">
        <v>12</v>
      </c>
      <c r="D12">
        <v>2400</v>
      </c>
      <c r="E12">
        <v>24</v>
      </c>
      <c r="F12">
        <v>12</v>
      </c>
      <c r="G12">
        <v>12</v>
      </c>
      <c r="H12">
        <v>17</v>
      </c>
      <c r="J12" s="3">
        <f t="shared" si="1"/>
        <v>290</v>
      </c>
      <c r="K12" s="3">
        <f t="shared" si="2"/>
        <v>110</v>
      </c>
      <c r="L12" s="3">
        <f t="shared" si="3"/>
        <v>48</v>
      </c>
      <c r="M12">
        <f t="shared" si="4"/>
        <v>39.6</v>
      </c>
      <c r="N12">
        <f t="shared" si="5"/>
        <v>28.799999999999997</v>
      </c>
      <c r="O12">
        <f t="shared" si="6"/>
        <v>28.799999999999997</v>
      </c>
      <c r="P12">
        <f t="shared" si="7"/>
        <v>119</v>
      </c>
      <c r="Q12">
        <f t="shared" si="8"/>
        <v>36</v>
      </c>
      <c r="R12">
        <f t="shared" si="9"/>
        <v>48</v>
      </c>
      <c r="T12">
        <f t="shared" si="10"/>
        <v>89.505599999999987</v>
      </c>
      <c r="U12">
        <f t="shared" si="11"/>
        <v>260.61</v>
      </c>
      <c r="V12">
        <f t="shared" si="12"/>
        <v>85.68</v>
      </c>
      <c r="W12">
        <f t="shared" si="13"/>
        <v>72</v>
      </c>
      <c r="X12">
        <f t="shared" si="14"/>
        <v>33</v>
      </c>
      <c r="Y12">
        <f t="shared" si="15"/>
        <v>540</v>
      </c>
    </row>
    <row r="13" spans="1:27" ht="15.75" x14ac:dyDescent="0.3">
      <c r="A13">
        <v>9</v>
      </c>
      <c r="B13" t="s">
        <v>20</v>
      </c>
      <c r="C13" t="s">
        <v>12</v>
      </c>
      <c r="D13">
        <v>3200</v>
      </c>
      <c r="E13" s="2">
        <v>26</v>
      </c>
      <c r="F13" s="2">
        <v>13</v>
      </c>
      <c r="G13" s="2">
        <v>13</v>
      </c>
      <c r="H13" s="2">
        <v>18</v>
      </c>
      <c r="J13" s="3">
        <f t="shared" si="1"/>
        <v>310</v>
      </c>
      <c r="K13" s="3">
        <f t="shared" si="2"/>
        <v>115</v>
      </c>
      <c r="L13" s="3">
        <f t="shared" si="3"/>
        <v>52</v>
      </c>
      <c r="M13">
        <f t="shared" si="4"/>
        <v>42.9</v>
      </c>
      <c r="N13">
        <f t="shared" si="5"/>
        <v>31.2</v>
      </c>
      <c r="O13">
        <f t="shared" si="6"/>
        <v>31.2</v>
      </c>
      <c r="P13">
        <f t="shared" si="7"/>
        <v>123.5</v>
      </c>
      <c r="Q13">
        <f t="shared" si="8"/>
        <v>39</v>
      </c>
      <c r="R13">
        <f t="shared" si="9"/>
        <v>52</v>
      </c>
      <c r="T13">
        <f t="shared" si="10"/>
        <v>95.901600000000002</v>
      </c>
      <c r="U13">
        <f t="shared" si="11"/>
        <v>293.00375000000003</v>
      </c>
      <c r="V13">
        <f t="shared" si="12"/>
        <v>96.33</v>
      </c>
      <c r="W13">
        <f t="shared" si="13"/>
        <v>78</v>
      </c>
      <c r="X13">
        <f t="shared" si="14"/>
        <v>34.5</v>
      </c>
      <c r="Y13">
        <f t="shared" si="15"/>
        <v>597</v>
      </c>
    </row>
    <row r="14" spans="1:27" ht="15.75" x14ac:dyDescent="0.3">
      <c r="A14">
        <v>10</v>
      </c>
      <c r="B14" t="s">
        <v>21</v>
      </c>
      <c r="C14" t="s">
        <v>22</v>
      </c>
      <c r="D14">
        <v>4000</v>
      </c>
      <c r="E14">
        <f>E13*3</f>
        <v>78</v>
      </c>
      <c r="F14">
        <f t="shared" ref="F14:H14" si="16">F13*3</f>
        <v>39</v>
      </c>
      <c r="G14">
        <f t="shared" si="16"/>
        <v>39</v>
      </c>
      <c r="H14">
        <f t="shared" si="16"/>
        <v>54</v>
      </c>
      <c r="J14" s="3">
        <f t="shared" si="1"/>
        <v>830</v>
      </c>
      <c r="K14" s="3">
        <f t="shared" si="2"/>
        <v>245</v>
      </c>
      <c r="L14" s="3">
        <f t="shared" si="3"/>
        <v>156</v>
      </c>
      <c r="M14">
        <f t="shared" si="4"/>
        <v>128.69999999999999</v>
      </c>
      <c r="N14">
        <f t="shared" si="5"/>
        <v>93.6</v>
      </c>
      <c r="O14">
        <f t="shared" si="6"/>
        <v>93.6</v>
      </c>
      <c r="P14">
        <f t="shared" si="7"/>
        <v>270.5</v>
      </c>
      <c r="Q14">
        <f t="shared" si="8"/>
        <v>117</v>
      </c>
      <c r="R14">
        <f t="shared" si="9"/>
        <v>156</v>
      </c>
      <c r="T14">
        <f t="shared" si="10"/>
        <v>272.30639999999994</v>
      </c>
      <c r="U14">
        <f t="shared" si="11"/>
        <v>1925.2837499999998</v>
      </c>
      <c r="V14">
        <f t="shared" si="12"/>
        <v>632.97</v>
      </c>
      <c r="W14">
        <f t="shared" si="13"/>
        <v>234</v>
      </c>
      <c r="X14">
        <f t="shared" si="14"/>
        <v>73.5</v>
      </c>
      <c r="Y14">
        <f t="shared" si="15"/>
        <v>3138</v>
      </c>
    </row>
    <row r="15" spans="1:27" ht="15.75" x14ac:dyDescent="0.3">
      <c r="A15">
        <v>11</v>
      </c>
      <c r="B15" t="s">
        <v>23</v>
      </c>
      <c r="C15" t="s">
        <v>22</v>
      </c>
      <c r="D15">
        <v>4967</v>
      </c>
      <c r="E15">
        <f>E14+4</f>
        <v>82</v>
      </c>
      <c r="F15">
        <f>F14+2</f>
        <v>41</v>
      </c>
      <c r="G15">
        <f>G14+2</f>
        <v>41</v>
      </c>
      <c r="H15">
        <f>H14+1</f>
        <v>55</v>
      </c>
      <c r="J15" s="3">
        <f t="shared" si="1"/>
        <v>870</v>
      </c>
      <c r="K15" s="3">
        <f t="shared" si="2"/>
        <v>255</v>
      </c>
      <c r="L15" s="3">
        <f t="shared" si="3"/>
        <v>164</v>
      </c>
      <c r="M15">
        <f t="shared" si="4"/>
        <v>135.30000000000001</v>
      </c>
      <c r="N15">
        <f t="shared" si="5"/>
        <v>98.399999999999991</v>
      </c>
      <c r="O15">
        <f t="shared" si="6"/>
        <v>98.399999999999991</v>
      </c>
      <c r="P15">
        <f t="shared" si="7"/>
        <v>276.5</v>
      </c>
      <c r="Q15">
        <f t="shared" si="8"/>
        <v>123</v>
      </c>
      <c r="R15">
        <f t="shared" si="9"/>
        <v>164</v>
      </c>
      <c r="T15">
        <f t="shared" si="10"/>
        <v>286.68239999999992</v>
      </c>
      <c r="U15">
        <f t="shared" si="11"/>
        <v>2068.9112500000001</v>
      </c>
      <c r="V15">
        <f t="shared" si="12"/>
        <v>680.19</v>
      </c>
      <c r="W15">
        <f t="shared" si="13"/>
        <v>246</v>
      </c>
      <c r="X15">
        <f t="shared" si="14"/>
        <v>76.5</v>
      </c>
      <c r="Y15">
        <f t="shared" si="15"/>
        <v>3358</v>
      </c>
    </row>
    <row r="16" spans="1:27" ht="15.75" x14ac:dyDescent="0.3">
      <c r="A16">
        <v>12</v>
      </c>
      <c r="B16" t="s">
        <v>24</v>
      </c>
      <c r="C16" t="s">
        <v>22</v>
      </c>
      <c r="D16">
        <v>5933</v>
      </c>
      <c r="E16">
        <f t="shared" ref="E16:E23" si="17">E15+4</f>
        <v>86</v>
      </c>
      <c r="F16">
        <f t="shared" ref="F16:F23" si="18">F15+2</f>
        <v>43</v>
      </c>
      <c r="G16">
        <f t="shared" ref="G16:G23" si="19">G15+2</f>
        <v>43</v>
      </c>
      <c r="H16">
        <f t="shared" ref="H16:H23" si="20">H15+1</f>
        <v>56</v>
      </c>
      <c r="J16" s="3">
        <f t="shared" ref="J16:J24" si="21" xml:space="preserve"> 50 +E16*10</f>
        <v>910</v>
      </c>
      <c r="K16" s="3">
        <f t="shared" ref="K16:K23" si="22" xml:space="preserve"> 50 +F16*5</f>
        <v>265</v>
      </c>
      <c r="L16" s="3">
        <f t="shared" ref="L16:L24" si="23" xml:space="preserve"> E16*2</f>
        <v>172</v>
      </c>
      <c r="M16">
        <f t="shared" ref="M16:M23" si="24">F16*2.5+G16*0.8</f>
        <v>141.9</v>
      </c>
      <c r="N16">
        <f t="shared" ref="N16:N24" si="25">E16*1.2</f>
        <v>103.2</v>
      </c>
      <c r="O16">
        <f t="shared" ref="O16:O23" si="26">F16*1.2+G16*1.2</f>
        <v>103.2</v>
      </c>
      <c r="P16">
        <f t="shared" ref="P16:P23" si="27" xml:space="preserve"> 50+H16*3 + G16*1.5</f>
        <v>282.5</v>
      </c>
      <c r="Q16">
        <f t="shared" ref="Q16:Q23" si="28">G16*2+F16</f>
        <v>129</v>
      </c>
      <c r="R16">
        <f t="shared" ref="R16:R23" si="29">G16*2 + E16</f>
        <v>172</v>
      </c>
      <c r="T16">
        <f t="shared" ref="T16:T23" si="30">J16*(1+N16/1000*0.5 + O16/1000*0.5)*0.3</f>
        <v>301.17360000000002</v>
      </c>
      <c r="U16">
        <f t="shared" ref="U16:U23" si="31">(L16*0.5+M16*0.5)*P16/100*5</f>
        <v>2216.9187500000003</v>
      </c>
      <c r="V16">
        <f t="shared" ref="V16:V23" si="32">Q16*P16/100*2</f>
        <v>728.85</v>
      </c>
      <c r="W16">
        <f t="shared" ref="W16:W23" si="33">R16*1.5</f>
        <v>258</v>
      </c>
      <c r="X16">
        <f t="shared" ref="X16:X23" si="34">K16*0.3</f>
        <v>79.5</v>
      </c>
      <c r="Y16">
        <f t="shared" si="15"/>
        <v>3584</v>
      </c>
    </row>
    <row r="17" spans="1:25" ht="15.75" x14ac:dyDescent="0.3">
      <c r="A17">
        <v>13</v>
      </c>
      <c r="B17" t="s">
        <v>25</v>
      </c>
      <c r="C17" t="s">
        <v>22</v>
      </c>
      <c r="D17">
        <v>6900</v>
      </c>
      <c r="E17">
        <f t="shared" si="17"/>
        <v>90</v>
      </c>
      <c r="F17">
        <f t="shared" si="18"/>
        <v>45</v>
      </c>
      <c r="G17">
        <f t="shared" si="19"/>
        <v>45</v>
      </c>
      <c r="H17">
        <f t="shared" si="20"/>
        <v>57</v>
      </c>
      <c r="I17" s="1"/>
      <c r="J17" s="3">
        <f t="shared" si="21"/>
        <v>950</v>
      </c>
      <c r="K17" s="3">
        <f t="shared" si="22"/>
        <v>275</v>
      </c>
      <c r="L17" s="3">
        <f t="shared" si="23"/>
        <v>180</v>
      </c>
      <c r="M17">
        <f t="shared" si="24"/>
        <v>148.5</v>
      </c>
      <c r="N17">
        <f t="shared" si="25"/>
        <v>108</v>
      </c>
      <c r="O17">
        <f t="shared" si="26"/>
        <v>108</v>
      </c>
      <c r="P17">
        <f t="shared" si="27"/>
        <v>288.5</v>
      </c>
      <c r="Q17">
        <f t="shared" si="28"/>
        <v>135</v>
      </c>
      <c r="R17">
        <f t="shared" si="29"/>
        <v>180</v>
      </c>
      <c r="T17">
        <f t="shared" si="30"/>
        <v>315.78000000000003</v>
      </c>
      <c r="U17">
        <f t="shared" si="31"/>
        <v>2369.3062500000001</v>
      </c>
      <c r="V17">
        <f t="shared" si="32"/>
        <v>778.95</v>
      </c>
      <c r="W17">
        <f t="shared" si="33"/>
        <v>270</v>
      </c>
      <c r="X17">
        <f t="shared" si="34"/>
        <v>82.5</v>
      </c>
      <c r="Y17">
        <f t="shared" si="15"/>
        <v>3816</v>
      </c>
    </row>
    <row r="18" spans="1:25" ht="15.75" x14ac:dyDescent="0.3">
      <c r="A18">
        <v>14</v>
      </c>
      <c r="B18" t="s">
        <v>26</v>
      </c>
      <c r="C18" t="s">
        <v>22</v>
      </c>
      <c r="D18">
        <v>8067</v>
      </c>
      <c r="E18">
        <f t="shared" si="17"/>
        <v>94</v>
      </c>
      <c r="F18">
        <f t="shared" si="18"/>
        <v>47</v>
      </c>
      <c r="G18">
        <f t="shared" si="19"/>
        <v>47</v>
      </c>
      <c r="H18">
        <f t="shared" si="20"/>
        <v>58</v>
      </c>
      <c r="I18" s="2"/>
      <c r="J18" s="3">
        <f t="shared" si="21"/>
        <v>990</v>
      </c>
      <c r="K18" s="3">
        <f t="shared" si="22"/>
        <v>285</v>
      </c>
      <c r="L18" s="3">
        <f t="shared" si="23"/>
        <v>188</v>
      </c>
      <c r="M18">
        <f t="shared" si="24"/>
        <v>155.1</v>
      </c>
      <c r="N18">
        <f t="shared" si="25"/>
        <v>112.8</v>
      </c>
      <c r="O18">
        <f t="shared" si="26"/>
        <v>112.8</v>
      </c>
      <c r="P18">
        <f t="shared" si="27"/>
        <v>294.5</v>
      </c>
      <c r="Q18">
        <f t="shared" si="28"/>
        <v>141</v>
      </c>
      <c r="R18">
        <f t="shared" si="29"/>
        <v>188</v>
      </c>
      <c r="T18">
        <f t="shared" si="30"/>
        <v>330.5016</v>
      </c>
      <c r="U18">
        <f t="shared" si="31"/>
        <v>2526.07375</v>
      </c>
      <c r="V18">
        <f t="shared" si="32"/>
        <v>830.49</v>
      </c>
      <c r="W18">
        <f t="shared" si="33"/>
        <v>282</v>
      </c>
      <c r="X18">
        <f t="shared" si="34"/>
        <v>85.5</v>
      </c>
      <c r="Y18">
        <f t="shared" si="15"/>
        <v>4054</v>
      </c>
    </row>
    <row r="19" spans="1:25" ht="15.75" x14ac:dyDescent="0.3">
      <c r="A19">
        <v>15</v>
      </c>
      <c r="B19" t="s">
        <v>27</v>
      </c>
      <c r="C19" t="s">
        <v>22</v>
      </c>
      <c r="D19">
        <v>9233</v>
      </c>
      <c r="E19">
        <f t="shared" si="17"/>
        <v>98</v>
      </c>
      <c r="F19">
        <f t="shared" si="18"/>
        <v>49</v>
      </c>
      <c r="G19">
        <f t="shared" si="19"/>
        <v>49</v>
      </c>
      <c r="H19">
        <f t="shared" si="20"/>
        <v>59</v>
      </c>
      <c r="I19" s="2"/>
      <c r="J19" s="3">
        <f t="shared" si="21"/>
        <v>1030</v>
      </c>
      <c r="K19" s="3">
        <f t="shared" si="22"/>
        <v>295</v>
      </c>
      <c r="L19" s="3">
        <f t="shared" si="23"/>
        <v>196</v>
      </c>
      <c r="M19">
        <f t="shared" si="24"/>
        <v>161.69999999999999</v>
      </c>
      <c r="N19">
        <f t="shared" si="25"/>
        <v>117.6</v>
      </c>
      <c r="O19">
        <f t="shared" si="26"/>
        <v>117.6</v>
      </c>
      <c r="P19">
        <f t="shared" si="27"/>
        <v>300.5</v>
      </c>
      <c r="Q19">
        <f t="shared" si="28"/>
        <v>147</v>
      </c>
      <c r="R19">
        <f t="shared" si="29"/>
        <v>196</v>
      </c>
      <c r="T19">
        <f t="shared" si="30"/>
        <v>345.33839999999998</v>
      </c>
      <c r="U19">
        <f t="shared" si="31"/>
        <v>2687.2212500000001</v>
      </c>
      <c r="V19">
        <f t="shared" si="32"/>
        <v>883.47</v>
      </c>
      <c r="W19">
        <f t="shared" si="33"/>
        <v>294</v>
      </c>
      <c r="X19">
        <f t="shared" si="34"/>
        <v>88.5</v>
      </c>
      <c r="Y19">
        <f t="shared" si="15"/>
        <v>4298</v>
      </c>
    </row>
    <row r="20" spans="1:25" ht="15.75" x14ac:dyDescent="0.3">
      <c r="A20">
        <v>16</v>
      </c>
      <c r="B20" t="s">
        <v>28</v>
      </c>
      <c r="C20" t="s">
        <v>22</v>
      </c>
      <c r="D20">
        <v>10400</v>
      </c>
      <c r="E20">
        <f t="shared" si="17"/>
        <v>102</v>
      </c>
      <c r="F20">
        <f t="shared" si="18"/>
        <v>51</v>
      </c>
      <c r="G20">
        <f t="shared" si="19"/>
        <v>51</v>
      </c>
      <c r="H20">
        <f t="shared" si="20"/>
        <v>60</v>
      </c>
      <c r="I20" s="2"/>
      <c r="J20" s="3">
        <f t="shared" si="21"/>
        <v>1070</v>
      </c>
      <c r="K20" s="3">
        <f t="shared" si="22"/>
        <v>305</v>
      </c>
      <c r="L20" s="3">
        <f t="shared" si="23"/>
        <v>204</v>
      </c>
      <c r="M20">
        <f t="shared" si="24"/>
        <v>168.3</v>
      </c>
      <c r="N20">
        <f t="shared" si="25"/>
        <v>122.39999999999999</v>
      </c>
      <c r="O20">
        <f t="shared" si="26"/>
        <v>122.39999999999999</v>
      </c>
      <c r="P20">
        <f t="shared" si="27"/>
        <v>306.5</v>
      </c>
      <c r="Q20">
        <f t="shared" si="28"/>
        <v>153</v>
      </c>
      <c r="R20">
        <f t="shared" si="29"/>
        <v>204</v>
      </c>
      <c r="T20">
        <f t="shared" si="30"/>
        <v>360.29039999999992</v>
      </c>
      <c r="U20">
        <f t="shared" si="31"/>
        <v>2852.7487500000002</v>
      </c>
      <c r="V20">
        <f t="shared" si="32"/>
        <v>937.89</v>
      </c>
      <c r="W20">
        <f t="shared" si="33"/>
        <v>306</v>
      </c>
      <c r="X20">
        <f t="shared" si="34"/>
        <v>91.5</v>
      </c>
      <c r="Y20">
        <f t="shared" si="15"/>
        <v>4548</v>
      </c>
    </row>
    <row r="21" spans="1:25" ht="15.75" x14ac:dyDescent="0.3">
      <c r="A21">
        <v>17</v>
      </c>
      <c r="B21" t="s">
        <v>29</v>
      </c>
      <c r="C21" t="s">
        <v>22</v>
      </c>
      <c r="D21">
        <v>13025</v>
      </c>
      <c r="E21">
        <f t="shared" si="17"/>
        <v>106</v>
      </c>
      <c r="F21">
        <f t="shared" si="18"/>
        <v>53</v>
      </c>
      <c r="G21">
        <f t="shared" si="19"/>
        <v>53</v>
      </c>
      <c r="H21">
        <f t="shared" si="20"/>
        <v>61</v>
      </c>
      <c r="I21" s="2"/>
      <c r="J21" s="3">
        <f t="shared" si="21"/>
        <v>1110</v>
      </c>
      <c r="K21" s="3">
        <f t="shared" si="22"/>
        <v>315</v>
      </c>
      <c r="L21" s="3">
        <f t="shared" si="23"/>
        <v>212</v>
      </c>
      <c r="M21">
        <f t="shared" si="24"/>
        <v>174.9</v>
      </c>
      <c r="N21">
        <f t="shared" si="25"/>
        <v>127.19999999999999</v>
      </c>
      <c r="O21">
        <f t="shared" si="26"/>
        <v>127.19999999999999</v>
      </c>
      <c r="P21">
        <f t="shared" si="27"/>
        <v>312.5</v>
      </c>
      <c r="Q21">
        <f t="shared" si="28"/>
        <v>159</v>
      </c>
      <c r="R21">
        <f t="shared" si="29"/>
        <v>212</v>
      </c>
      <c r="T21">
        <f t="shared" si="30"/>
        <v>375.35760000000005</v>
      </c>
      <c r="U21">
        <f t="shared" si="31"/>
        <v>3022.65625</v>
      </c>
      <c r="V21">
        <f t="shared" si="32"/>
        <v>993.75</v>
      </c>
      <c r="W21">
        <f t="shared" si="33"/>
        <v>318</v>
      </c>
      <c r="X21">
        <f t="shared" si="34"/>
        <v>94.5</v>
      </c>
      <c r="Y21">
        <f t="shared" si="15"/>
        <v>4804</v>
      </c>
    </row>
    <row r="22" spans="1:25" ht="15.75" x14ac:dyDescent="0.3">
      <c r="A22">
        <v>18</v>
      </c>
      <c r="B22" t="s">
        <v>30</v>
      </c>
      <c r="C22" t="s">
        <v>22</v>
      </c>
      <c r="D22">
        <v>15650</v>
      </c>
      <c r="E22">
        <f t="shared" si="17"/>
        <v>110</v>
      </c>
      <c r="F22">
        <f t="shared" si="18"/>
        <v>55</v>
      </c>
      <c r="G22">
        <f t="shared" si="19"/>
        <v>55</v>
      </c>
      <c r="H22">
        <f t="shared" si="20"/>
        <v>62</v>
      </c>
      <c r="I22" s="2"/>
      <c r="J22" s="3">
        <f t="shared" si="21"/>
        <v>1150</v>
      </c>
      <c r="K22" s="3">
        <f t="shared" si="22"/>
        <v>325</v>
      </c>
      <c r="L22" s="3">
        <f t="shared" si="23"/>
        <v>220</v>
      </c>
      <c r="M22">
        <f t="shared" si="24"/>
        <v>181.5</v>
      </c>
      <c r="N22">
        <f t="shared" si="25"/>
        <v>132</v>
      </c>
      <c r="O22">
        <f t="shared" si="26"/>
        <v>132</v>
      </c>
      <c r="P22">
        <f t="shared" si="27"/>
        <v>318.5</v>
      </c>
      <c r="Q22">
        <f t="shared" si="28"/>
        <v>165</v>
      </c>
      <c r="R22">
        <f t="shared" si="29"/>
        <v>220</v>
      </c>
      <c r="T22">
        <f t="shared" si="30"/>
        <v>390.54</v>
      </c>
      <c r="U22">
        <f t="shared" si="31"/>
        <v>3196.9437499999999</v>
      </c>
      <c r="V22">
        <f t="shared" si="32"/>
        <v>1051.05</v>
      </c>
      <c r="W22">
        <f t="shared" si="33"/>
        <v>330</v>
      </c>
      <c r="X22">
        <f t="shared" si="34"/>
        <v>97.5</v>
      </c>
      <c r="Y22">
        <f t="shared" si="15"/>
        <v>5066</v>
      </c>
    </row>
    <row r="23" spans="1:25" ht="15.75" x14ac:dyDescent="0.3">
      <c r="A23">
        <v>19</v>
      </c>
      <c r="B23" t="s">
        <v>31</v>
      </c>
      <c r="C23" t="s">
        <v>22</v>
      </c>
      <c r="D23">
        <v>18275</v>
      </c>
      <c r="E23">
        <f t="shared" si="17"/>
        <v>114</v>
      </c>
      <c r="F23">
        <f t="shared" si="18"/>
        <v>57</v>
      </c>
      <c r="G23">
        <f t="shared" si="19"/>
        <v>57</v>
      </c>
      <c r="H23">
        <f t="shared" si="20"/>
        <v>63</v>
      </c>
      <c r="I23" s="2"/>
      <c r="J23" s="3">
        <f t="shared" si="21"/>
        <v>1190</v>
      </c>
      <c r="K23" s="3">
        <f t="shared" si="22"/>
        <v>335</v>
      </c>
      <c r="L23" s="3">
        <f t="shared" si="23"/>
        <v>228</v>
      </c>
      <c r="M23">
        <f t="shared" si="24"/>
        <v>188.1</v>
      </c>
      <c r="N23">
        <f t="shared" si="25"/>
        <v>136.79999999999998</v>
      </c>
      <c r="O23">
        <f t="shared" si="26"/>
        <v>136.79999999999998</v>
      </c>
      <c r="P23">
        <f t="shared" si="27"/>
        <v>324.5</v>
      </c>
      <c r="Q23">
        <f t="shared" si="28"/>
        <v>171</v>
      </c>
      <c r="R23">
        <f t="shared" si="29"/>
        <v>228</v>
      </c>
      <c r="T23">
        <f t="shared" si="30"/>
        <v>405.83760000000001</v>
      </c>
      <c r="U23">
        <f t="shared" si="31"/>
        <v>3375.6112499999999</v>
      </c>
      <c r="V23">
        <f t="shared" si="32"/>
        <v>1109.79</v>
      </c>
      <c r="W23">
        <f t="shared" si="33"/>
        <v>342</v>
      </c>
      <c r="X23">
        <f t="shared" si="34"/>
        <v>100.5</v>
      </c>
      <c r="Y23">
        <f t="shared" si="15"/>
        <v>5333</v>
      </c>
    </row>
    <row r="24" spans="1:25" ht="15.75" x14ac:dyDescent="0.3">
      <c r="A24">
        <v>20</v>
      </c>
      <c r="B24" t="s">
        <v>32</v>
      </c>
      <c r="C24" t="s">
        <v>33</v>
      </c>
      <c r="D24">
        <v>20900</v>
      </c>
      <c r="E24">
        <f>E23*2.5</f>
        <v>285</v>
      </c>
      <c r="F24">
        <f t="shared" ref="F24:H24" si="35">F23*2.5</f>
        <v>142.5</v>
      </c>
      <c r="G24">
        <f t="shared" si="35"/>
        <v>142.5</v>
      </c>
      <c r="H24">
        <f t="shared" si="35"/>
        <v>157.5</v>
      </c>
      <c r="I24" s="2"/>
      <c r="J24" s="3">
        <f t="shared" ref="J24:J35" si="36" xml:space="preserve"> 50 +E24*10</f>
        <v>2900</v>
      </c>
      <c r="K24" s="3">
        <f t="shared" ref="K24:K33" si="37" xml:space="preserve"> 50 +F24*5</f>
        <v>762.5</v>
      </c>
      <c r="L24" s="3">
        <f t="shared" ref="L24:L35" si="38" xml:space="preserve"> E24*2</f>
        <v>570</v>
      </c>
      <c r="M24">
        <f t="shared" ref="M24:M33" si="39">F24*2.5+G24*0.8</f>
        <v>470.25</v>
      </c>
      <c r="N24">
        <f t="shared" ref="N24:N35" si="40">E24*1.2</f>
        <v>342</v>
      </c>
      <c r="O24">
        <f t="shared" ref="O24:O33" si="41">F24*1.2+G24*1.2</f>
        <v>342</v>
      </c>
      <c r="P24">
        <f t="shared" ref="P24:P33" si="42" xml:space="preserve"> 50+H24*3 + G24*1.5</f>
        <v>736.25</v>
      </c>
      <c r="Q24">
        <f t="shared" ref="Q24:Q33" si="43">G24*2+F24</f>
        <v>427.5</v>
      </c>
      <c r="R24">
        <f t="shared" ref="R24:R33" si="44">G24*2 + E24</f>
        <v>570</v>
      </c>
      <c r="T24">
        <f t="shared" ref="T24:T33" si="45">J24*(1+N24/1000*0.5 + O24/1000*0.5)*0.3</f>
        <v>1167.54</v>
      </c>
      <c r="U24">
        <f t="shared" ref="U24:U33" si="46">(L24*0.5+M24*0.5)*P24/100*5</f>
        <v>19147.1015625</v>
      </c>
      <c r="V24">
        <f t="shared" ref="V24:V33" si="47">Q24*P24/100*2</f>
        <v>6294.9375</v>
      </c>
      <c r="W24">
        <f t="shared" ref="W24:W33" si="48">R24*1.5</f>
        <v>855</v>
      </c>
      <c r="X24">
        <f t="shared" ref="X24:X33" si="49">K24*0.3</f>
        <v>228.75</v>
      </c>
      <c r="Y24">
        <f t="shared" si="15"/>
        <v>27693</v>
      </c>
    </row>
    <row r="25" spans="1:25" ht="15.75" x14ac:dyDescent="0.3">
      <c r="A25">
        <v>21</v>
      </c>
      <c r="B25" t="s">
        <v>34</v>
      </c>
      <c r="C25" t="s">
        <v>33</v>
      </c>
      <c r="D25">
        <v>24667</v>
      </c>
      <c r="E25">
        <f>E24+7</f>
        <v>292</v>
      </c>
      <c r="F25">
        <f>F24+4</f>
        <v>146.5</v>
      </c>
      <c r="G25">
        <f>G24+4</f>
        <v>146.5</v>
      </c>
      <c r="H25">
        <f>H24+4</f>
        <v>161.5</v>
      </c>
      <c r="I25" s="2"/>
      <c r="J25" s="3">
        <f t="shared" si="36"/>
        <v>2970</v>
      </c>
      <c r="K25" s="3">
        <f t="shared" si="37"/>
        <v>782.5</v>
      </c>
      <c r="L25" s="3">
        <f t="shared" si="38"/>
        <v>584</v>
      </c>
      <c r="M25">
        <f t="shared" si="39"/>
        <v>483.45</v>
      </c>
      <c r="N25">
        <f t="shared" si="40"/>
        <v>350.4</v>
      </c>
      <c r="O25">
        <f t="shared" si="41"/>
        <v>351.59999999999997</v>
      </c>
      <c r="P25">
        <f t="shared" si="42"/>
        <v>754.25</v>
      </c>
      <c r="Q25">
        <f t="shared" si="43"/>
        <v>439.5</v>
      </c>
      <c r="R25">
        <f t="shared" si="44"/>
        <v>585</v>
      </c>
      <c r="T25">
        <f t="shared" si="45"/>
        <v>1203.741</v>
      </c>
      <c r="U25">
        <f t="shared" si="46"/>
        <v>20128.104062499999</v>
      </c>
      <c r="V25">
        <f t="shared" si="47"/>
        <v>6629.8575000000001</v>
      </c>
      <c r="W25">
        <f t="shared" si="48"/>
        <v>877.5</v>
      </c>
      <c r="X25">
        <f t="shared" si="49"/>
        <v>234.75</v>
      </c>
      <c r="Y25">
        <f t="shared" si="15"/>
        <v>29073</v>
      </c>
    </row>
    <row r="26" spans="1:25" ht="15.75" x14ac:dyDescent="0.3">
      <c r="A26">
        <v>22</v>
      </c>
      <c r="B26" t="s">
        <v>35</v>
      </c>
      <c r="C26" t="s">
        <v>33</v>
      </c>
      <c r="D26">
        <v>28433</v>
      </c>
      <c r="E26">
        <f t="shared" ref="E26:E33" si="50">E25+7</f>
        <v>299</v>
      </c>
      <c r="F26">
        <f t="shared" ref="F26:F33" si="51">F25+4</f>
        <v>150.5</v>
      </c>
      <c r="G26">
        <f t="shared" ref="G26:G33" si="52">G25+4</f>
        <v>150.5</v>
      </c>
      <c r="H26">
        <f t="shared" ref="H26:H33" si="53">H25+4</f>
        <v>165.5</v>
      </c>
      <c r="I26" s="2"/>
      <c r="J26" s="3">
        <f t="shared" si="36"/>
        <v>3040</v>
      </c>
      <c r="K26" s="3">
        <f t="shared" si="37"/>
        <v>802.5</v>
      </c>
      <c r="L26" s="3">
        <f t="shared" si="38"/>
        <v>598</v>
      </c>
      <c r="M26">
        <f t="shared" si="39"/>
        <v>496.65</v>
      </c>
      <c r="N26">
        <f t="shared" si="40"/>
        <v>358.8</v>
      </c>
      <c r="O26">
        <f t="shared" si="41"/>
        <v>361.2</v>
      </c>
      <c r="P26">
        <f t="shared" si="42"/>
        <v>772.25</v>
      </c>
      <c r="Q26">
        <f t="shared" si="43"/>
        <v>451.5</v>
      </c>
      <c r="R26">
        <f t="shared" si="44"/>
        <v>600</v>
      </c>
      <c r="T26">
        <f t="shared" si="45"/>
        <v>1240.32</v>
      </c>
      <c r="U26">
        <f t="shared" si="46"/>
        <v>21133.586562500001</v>
      </c>
      <c r="V26">
        <f t="shared" si="47"/>
        <v>6973.4174999999996</v>
      </c>
      <c r="W26">
        <f t="shared" si="48"/>
        <v>900</v>
      </c>
      <c r="X26">
        <f t="shared" si="49"/>
        <v>240.75</v>
      </c>
      <c r="Y26">
        <f t="shared" si="15"/>
        <v>30488</v>
      </c>
    </row>
    <row r="27" spans="1:25" ht="15.75" x14ac:dyDescent="0.3">
      <c r="A27">
        <v>23</v>
      </c>
      <c r="B27" t="s">
        <v>36</v>
      </c>
      <c r="C27" t="s">
        <v>33</v>
      </c>
      <c r="D27">
        <v>32200</v>
      </c>
      <c r="E27">
        <f t="shared" si="50"/>
        <v>306</v>
      </c>
      <c r="F27">
        <f t="shared" si="51"/>
        <v>154.5</v>
      </c>
      <c r="G27">
        <f t="shared" si="52"/>
        <v>154.5</v>
      </c>
      <c r="H27">
        <f t="shared" si="53"/>
        <v>169.5</v>
      </c>
      <c r="I27" s="2"/>
      <c r="J27" s="3">
        <f t="shared" si="36"/>
        <v>3110</v>
      </c>
      <c r="K27" s="3">
        <f t="shared" si="37"/>
        <v>822.5</v>
      </c>
      <c r="L27" s="3">
        <f t="shared" si="38"/>
        <v>612</v>
      </c>
      <c r="M27">
        <f t="shared" si="39"/>
        <v>509.85</v>
      </c>
      <c r="N27">
        <f t="shared" si="40"/>
        <v>367.2</v>
      </c>
      <c r="O27">
        <f t="shared" si="41"/>
        <v>370.8</v>
      </c>
      <c r="P27">
        <f t="shared" si="42"/>
        <v>790.25</v>
      </c>
      <c r="Q27">
        <f t="shared" si="43"/>
        <v>463.5</v>
      </c>
      <c r="R27">
        <f t="shared" si="44"/>
        <v>615</v>
      </c>
      <c r="T27">
        <f t="shared" si="45"/>
        <v>1277.277</v>
      </c>
      <c r="U27">
        <f t="shared" si="46"/>
        <v>22163.549062499995</v>
      </c>
      <c r="V27">
        <f t="shared" si="47"/>
        <v>7325.6175000000003</v>
      </c>
      <c r="W27">
        <f t="shared" si="48"/>
        <v>922.5</v>
      </c>
      <c r="X27">
        <f t="shared" si="49"/>
        <v>246.75</v>
      </c>
      <c r="Y27">
        <f t="shared" si="15"/>
        <v>31935</v>
      </c>
    </row>
    <row r="28" spans="1:25" ht="15.75" x14ac:dyDescent="0.3">
      <c r="A28">
        <v>24</v>
      </c>
      <c r="B28" t="s">
        <v>37</v>
      </c>
      <c r="C28" t="s">
        <v>33</v>
      </c>
      <c r="D28">
        <v>36267</v>
      </c>
      <c r="E28">
        <f t="shared" si="50"/>
        <v>313</v>
      </c>
      <c r="F28">
        <f t="shared" si="51"/>
        <v>158.5</v>
      </c>
      <c r="G28">
        <f t="shared" si="52"/>
        <v>158.5</v>
      </c>
      <c r="H28">
        <f t="shared" si="53"/>
        <v>173.5</v>
      </c>
      <c r="I28" s="2"/>
      <c r="J28" s="3">
        <f t="shared" si="36"/>
        <v>3180</v>
      </c>
      <c r="K28" s="3">
        <f t="shared" si="37"/>
        <v>842.5</v>
      </c>
      <c r="L28" s="3">
        <f t="shared" si="38"/>
        <v>626</v>
      </c>
      <c r="M28">
        <f t="shared" si="39"/>
        <v>523.04999999999995</v>
      </c>
      <c r="N28">
        <f t="shared" si="40"/>
        <v>375.59999999999997</v>
      </c>
      <c r="O28">
        <f t="shared" si="41"/>
        <v>380.4</v>
      </c>
      <c r="P28">
        <f t="shared" si="42"/>
        <v>808.25</v>
      </c>
      <c r="Q28">
        <f t="shared" si="43"/>
        <v>475.5</v>
      </c>
      <c r="R28">
        <f t="shared" si="44"/>
        <v>630</v>
      </c>
      <c r="T28">
        <f t="shared" si="45"/>
        <v>1314.6119999999999</v>
      </c>
      <c r="U28">
        <f t="shared" si="46"/>
        <v>23217.991562499999</v>
      </c>
      <c r="V28">
        <f t="shared" si="47"/>
        <v>7686.4575000000004</v>
      </c>
      <c r="W28">
        <f t="shared" si="48"/>
        <v>945</v>
      </c>
      <c r="X28">
        <f t="shared" si="49"/>
        <v>252.75</v>
      </c>
      <c r="Y28">
        <f t="shared" si="15"/>
        <v>33416</v>
      </c>
    </row>
    <row r="29" spans="1:25" ht="15.75" x14ac:dyDescent="0.3">
      <c r="A29">
        <v>25</v>
      </c>
      <c r="B29" t="s">
        <v>38</v>
      </c>
      <c r="C29" t="s">
        <v>33</v>
      </c>
      <c r="D29">
        <v>40333</v>
      </c>
      <c r="E29">
        <f t="shared" si="50"/>
        <v>320</v>
      </c>
      <c r="F29">
        <f t="shared" si="51"/>
        <v>162.5</v>
      </c>
      <c r="G29">
        <f t="shared" si="52"/>
        <v>162.5</v>
      </c>
      <c r="H29">
        <f t="shared" si="53"/>
        <v>177.5</v>
      </c>
      <c r="J29" s="3">
        <f t="shared" si="36"/>
        <v>3250</v>
      </c>
      <c r="K29" s="3">
        <f t="shared" si="37"/>
        <v>862.5</v>
      </c>
      <c r="L29" s="3">
        <f t="shared" si="38"/>
        <v>640</v>
      </c>
      <c r="M29">
        <f t="shared" si="39"/>
        <v>536.25</v>
      </c>
      <c r="N29">
        <f t="shared" si="40"/>
        <v>384</v>
      </c>
      <c r="O29">
        <f t="shared" si="41"/>
        <v>390</v>
      </c>
      <c r="P29">
        <f t="shared" si="42"/>
        <v>826.25</v>
      </c>
      <c r="Q29">
        <f t="shared" si="43"/>
        <v>487.5</v>
      </c>
      <c r="R29">
        <f t="shared" si="44"/>
        <v>645</v>
      </c>
      <c r="T29">
        <f t="shared" si="45"/>
        <v>1352.325</v>
      </c>
      <c r="U29">
        <f t="shared" si="46"/>
        <v>24296.9140625</v>
      </c>
      <c r="V29">
        <f t="shared" si="47"/>
        <v>8055.9375</v>
      </c>
      <c r="W29">
        <f t="shared" si="48"/>
        <v>967.5</v>
      </c>
      <c r="X29">
        <f t="shared" si="49"/>
        <v>258.75</v>
      </c>
      <c r="Y29">
        <f t="shared" si="15"/>
        <v>34931</v>
      </c>
    </row>
    <row r="30" spans="1:25" ht="15.75" x14ac:dyDescent="0.3">
      <c r="A30">
        <v>26</v>
      </c>
      <c r="B30" t="s">
        <v>39</v>
      </c>
      <c r="C30" t="s">
        <v>33</v>
      </c>
      <c r="D30">
        <v>44400</v>
      </c>
      <c r="E30">
        <f t="shared" si="50"/>
        <v>327</v>
      </c>
      <c r="F30">
        <f t="shared" si="51"/>
        <v>166.5</v>
      </c>
      <c r="G30">
        <f t="shared" si="52"/>
        <v>166.5</v>
      </c>
      <c r="H30">
        <f t="shared" si="53"/>
        <v>181.5</v>
      </c>
      <c r="J30" s="3">
        <f t="shared" si="36"/>
        <v>3320</v>
      </c>
      <c r="K30" s="3">
        <f t="shared" si="37"/>
        <v>882.5</v>
      </c>
      <c r="L30" s="3">
        <f t="shared" si="38"/>
        <v>654</v>
      </c>
      <c r="M30">
        <f t="shared" si="39"/>
        <v>549.45000000000005</v>
      </c>
      <c r="N30">
        <f t="shared" si="40"/>
        <v>392.4</v>
      </c>
      <c r="O30">
        <f t="shared" si="41"/>
        <v>399.59999999999997</v>
      </c>
      <c r="P30">
        <f t="shared" si="42"/>
        <v>844.25</v>
      </c>
      <c r="Q30">
        <f t="shared" si="43"/>
        <v>499.5</v>
      </c>
      <c r="R30">
        <f t="shared" si="44"/>
        <v>660</v>
      </c>
      <c r="T30">
        <f t="shared" si="45"/>
        <v>1390.4159999999997</v>
      </c>
      <c r="U30">
        <f t="shared" si="46"/>
        <v>25400.316562500004</v>
      </c>
      <c r="V30">
        <f t="shared" si="47"/>
        <v>8434.0575000000008</v>
      </c>
      <c r="W30">
        <f t="shared" si="48"/>
        <v>990</v>
      </c>
      <c r="X30">
        <f t="shared" si="49"/>
        <v>264.75</v>
      </c>
      <c r="Y30">
        <f t="shared" si="15"/>
        <v>36479</v>
      </c>
    </row>
    <row r="31" spans="1:25" ht="15.75" x14ac:dyDescent="0.3">
      <c r="A31">
        <v>27</v>
      </c>
      <c r="B31" t="s">
        <v>40</v>
      </c>
      <c r="C31" t="s">
        <v>33</v>
      </c>
      <c r="D31">
        <v>53550</v>
      </c>
      <c r="E31">
        <f t="shared" si="50"/>
        <v>334</v>
      </c>
      <c r="F31">
        <f t="shared" si="51"/>
        <v>170.5</v>
      </c>
      <c r="G31">
        <f t="shared" si="52"/>
        <v>170.5</v>
      </c>
      <c r="H31">
        <f t="shared" si="53"/>
        <v>185.5</v>
      </c>
      <c r="J31" s="3">
        <f t="shared" si="36"/>
        <v>3390</v>
      </c>
      <c r="K31" s="3">
        <f t="shared" si="37"/>
        <v>902.5</v>
      </c>
      <c r="L31" s="3">
        <f t="shared" si="38"/>
        <v>668</v>
      </c>
      <c r="M31">
        <f t="shared" si="39"/>
        <v>562.65</v>
      </c>
      <c r="N31">
        <f t="shared" si="40"/>
        <v>400.8</v>
      </c>
      <c r="O31">
        <f t="shared" si="41"/>
        <v>409.2</v>
      </c>
      <c r="P31">
        <f t="shared" si="42"/>
        <v>862.25</v>
      </c>
      <c r="Q31">
        <f t="shared" si="43"/>
        <v>511.5</v>
      </c>
      <c r="R31">
        <f t="shared" si="44"/>
        <v>675</v>
      </c>
      <c r="T31">
        <f t="shared" si="45"/>
        <v>1428.8849999999995</v>
      </c>
      <c r="U31">
        <f t="shared" si="46"/>
        <v>26528.199062500003</v>
      </c>
      <c r="V31">
        <f t="shared" si="47"/>
        <v>8820.8174999999992</v>
      </c>
      <c r="W31">
        <f t="shared" si="48"/>
        <v>1012.5</v>
      </c>
      <c r="X31">
        <f t="shared" si="49"/>
        <v>270.75</v>
      </c>
      <c r="Y31">
        <f t="shared" si="15"/>
        <v>38061</v>
      </c>
    </row>
    <row r="32" spans="1:25" ht="15.75" x14ac:dyDescent="0.3">
      <c r="A32">
        <v>28</v>
      </c>
      <c r="B32" t="s">
        <v>41</v>
      </c>
      <c r="C32" t="s">
        <v>33</v>
      </c>
      <c r="D32">
        <v>62700</v>
      </c>
      <c r="E32">
        <f t="shared" si="50"/>
        <v>341</v>
      </c>
      <c r="F32">
        <f t="shared" si="51"/>
        <v>174.5</v>
      </c>
      <c r="G32">
        <f t="shared" si="52"/>
        <v>174.5</v>
      </c>
      <c r="H32">
        <f t="shared" si="53"/>
        <v>189.5</v>
      </c>
      <c r="J32" s="3">
        <f t="shared" si="36"/>
        <v>3460</v>
      </c>
      <c r="K32" s="3">
        <f t="shared" si="37"/>
        <v>922.5</v>
      </c>
      <c r="L32" s="3">
        <f t="shared" si="38"/>
        <v>682</v>
      </c>
      <c r="M32">
        <f t="shared" si="39"/>
        <v>575.85</v>
      </c>
      <c r="N32">
        <f t="shared" si="40"/>
        <v>409.2</v>
      </c>
      <c r="O32">
        <f t="shared" si="41"/>
        <v>418.8</v>
      </c>
      <c r="P32">
        <f t="shared" si="42"/>
        <v>880.25</v>
      </c>
      <c r="Q32">
        <f t="shared" si="43"/>
        <v>523.5</v>
      </c>
      <c r="R32">
        <f t="shared" si="44"/>
        <v>690</v>
      </c>
      <c r="T32">
        <f t="shared" si="45"/>
        <v>1467.7320000000002</v>
      </c>
      <c r="U32">
        <f t="shared" si="46"/>
        <v>27680.561562499999</v>
      </c>
      <c r="V32">
        <f t="shared" si="47"/>
        <v>9216.2175000000007</v>
      </c>
      <c r="W32">
        <f t="shared" si="48"/>
        <v>1035</v>
      </c>
      <c r="X32">
        <f t="shared" si="49"/>
        <v>276.75</v>
      </c>
      <c r="Y32">
        <f t="shared" si="15"/>
        <v>39676</v>
      </c>
    </row>
    <row r="33" spans="1:25" ht="15.75" x14ac:dyDescent="0.3">
      <c r="A33">
        <v>29</v>
      </c>
      <c r="B33" t="s">
        <v>42</v>
      </c>
      <c r="C33" t="s">
        <v>33</v>
      </c>
      <c r="D33">
        <v>71850</v>
      </c>
      <c r="E33">
        <f t="shared" si="50"/>
        <v>348</v>
      </c>
      <c r="F33">
        <f t="shared" si="51"/>
        <v>178.5</v>
      </c>
      <c r="G33">
        <f t="shared" si="52"/>
        <v>178.5</v>
      </c>
      <c r="H33">
        <f t="shared" si="53"/>
        <v>193.5</v>
      </c>
      <c r="J33" s="3">
        <f t="shared" si="36"/>
        <v>3530</v>
      </c>
      <c r="K33" s="3">
        <f t="shared" si="37"/>
        <v>942.5</v>
      </c>
      <c r="L33" s="3">
        <f t="shared" si="38"/>
        <v>696</v>
      </c>
      <c r="M33">
        <f t="shared" si="39"/>
        <v>589.04999999999995</v>
      </c>
      <c r="N33">
        <f t="shared" si="40"/>
        <v>417.59999999999997</v>
      </c>
      <c r="O33">
        <f t="shared" si="41"/>
        <v>428.4</v>
      </c>
      <c r="P33">
        <f t="shared" si="42"/>
        <v>898.25</v>
      </c>
      <c r="Q33">
        <f t="shared" si="43"/>
        <v>535.5</v>
      </c>
      <c r="R33">
        <f t="shared" si="44"/>
        <v>705</v>
      </c>
      <c r="T33">
        <f t="shared" si="45"/>
        <v>1506.9570000000001</v>
      </c>
      <c r="U33">
        <f t="shared" si="46"/>
        <v>28857.404062499994</v>
      </c>
      <c r="V33">
        <f t="shared" si="47"/>
        <v>9620.2574999999997</v>
      </c>
      <c r="W33">
        <f t="shared" si="48"/>
        <v>1057.5</v>
      </c>
      <c r="X33">
        <f t="shared" si="49"/>
        <v>282.75</v>
      </c>
      <c r="Y33">
        <f t="shared" si="15"/>
        <v>41324</v>
      </c>
    </row>
    <row r="34" spans="1:25" ht="15.75" x14ac:dyDescent="0.3">
      <c r="A34">
        <v>30</v>
      </c>
      <c r="B34" t="s">
        <v>43</v>
      </c>
      <c r="C34" t="s">
        <v>44</v>
      </c>
      <c r="D34">
        <v>81000</v>
      </c>
      <c r="E34">
        <f>E33*2</f>
        <v>696</v>
      </c>
      <c r="F34">
        <f t="shared" ref="F34:H34" si="54">F33*2</f>
        <v>357</v>
      </c>
      <c r="G34">
        <f t="shared" si="54"/>
        <v>357</v>
      </c>
      <c r="H34">
        <f t="shared" si="54"/>
        <v>387</v>
      </c>
      <c r="J34" s="3">
        <f t="shared" ref="J34:J63" si="55" xml:space="preserve"> 50 +E34*10</f>
        <v>7010</v>
      </c>
      <c r="K34" s="3">
        <f t="shared" ref="K34:K63" si="56" xml:space="preserve"> 50 +F34*5</f>
        <v>1835</v>
      </c>
      <c r="L34" s="3">
        <f t="shared" ref="L34:L63" si="57" xml:space="preserve"> E34*2</f>
        <v>1392</v>
      </c>
      <c r="M34">
        <f t="shared" ref="M34:M63" si="58">F34*2.5+G34*0.8</f>
        <v>1178.0999999999999</v>
      </c>
      <c r="N34">
        <f t="shared" ref="N34:N63" si="59">E34*1.2</f>
        <v>835.19999999999993</v>
      </c>
      <c r="O34">
        <f t="shared" ref="O34:O63" si="60">F34*1.2+G34*1.2</f>
        <v>856.8</v>
      </c>
      <c r="P34">
        <f t="shared" ref="P34:P63" si="61" xml:space="preserve"> 50+H34*3 + G34*1.5</f>
        <v>1746.5</v>
      </c>
      <c r="Q34">
        <f t="shared" ref="Q34:Q63" si="62">G34*2+F34</f>
        <v>1071</v>
      </c>
      <c r="R34">
        <f t="shared" ref="R34:R63" si="63">G34*2 + E34</f>
        <v>1410</v>
      </c>
      <c r="T34">
        <f t="shared" ref="T34:T63" si="64">J34*(1+N34/1000*0.5 + O34/1000*0.5)*0.3</f>
        <v>3882.1379999999999</v>
      </c>
      <c r="U34">
        <f t="shared" ref="U34:U63" si="65">(L34*0.5+M34*0.5)*P34/100*5</f>
        <v>112216.99124999999</v>
      </c>
      <c r="V34">
        <f t="shared" ref="V34:V63" si="66">Q34*P34/100*2</f>
        <v>37410.03</v>
      </c>
      <c r="W34">
        <f t="shared" ref="W34:W63" si="67">R34*1.5</f>
        <v>2115</v>
      </c>
      <c r="X34">
        <f t="shared" ref="X34:X63" si="68">K34*0.3</f>
        <v>550.5</v>
      </c>
      <c r="Y34">
        <f t="shared" si="15"/>
        <v>156174</v>
      </c>
    </row>
    <row r="35" spans="1:25" ht="15.75" x14ac:dyDescent="0.3">
      <c r="A35">
        <v>31</v>
      </c>
      <c r="B35" t="s">
        <v>45</v>
      </c>
      <c r="C35" t="s">
        <v>44</v>
      </c>
      <c r="D35">
        <v>93567</v>
      </c>
      <c r="E35">
        <f>E34+12</f>
        <v>708</v>
      </c>
      <c r="F35">
        <f>F34+6</f>
        <v>363</v>
      </c>
      <c r="G35">
        <f t="shared" ref="G35:H35" si="69">G34+6</f>
        <v>363</v>
      </c>
      <c r="H35">
        <f t="shared" si="69"/>
        <v>393</v>
      </c>
      <c r="J35" s="3">
        <f t="shared" si="55"/>
        <v>7130</v>
      </c>
      <c r="K35" s="3">
        <f t="shared" si="56"/>
        <v>1865</v>
      </c>
      <c r="L35" s="3">
        <f t="shared" si="57"/>
        <v>1416</v>
      </c>
      <c r="M35">
        <f t="shared" si="58"/>
        <v>1197.9000000000001</v>
      </c>
      <c r="N35">
        <f t="shared" si="59"/>
        <v>849.6</v>
      </c>
      <c r="O35">
        <f t="shared" si="60"/>
        <v>871.19999999999993</v>
      </c>
      <c r="P35">
        <f t="shared" si="61"/>
        <v>1773.5</v>
      </c>
      <c r="Q35">
        <f t="shared" si="62"/>
        <v>1089</v>
      </c>
      <c r="R35">
        <f t="shared" si="63"/>
        <v>1434</v>
      </c>
      <c r="T35">
        <f t="shared" si="64"/>
        <v>3979.3955999999998</v>
      </c>
      <c r="U35">
        <f t="shared" si="65"/>
        <v>115893.79125000001</v>
      </c>
      <c r="V35">
        <f t="shared" si="66"/>
        <v>38626.83</v>
      </c>
      <c r="W35">
        <f t="shared" si="67"/>
        <v>2151</v>
      </c>
      <c r="X35">
        <f t="shared" si="68"/>
        <v>559.5</v>
      </c>
      <c r="Y35">
        <f t="shared" si="15"/>
        <v>161210</v>
      </c>
    </row>
    <row r="36" spans="1:25" ht="15.75" x14ac:dyDescent="0.3">
      <c r="A36">
        <v>32</v>
      </c>
      <c r="B36" t="s">
        <v>46</v>
      </c>
      <c r="C36" t="s">
        <v>44</v>
      </c>
      <c r="D36">
        <v>106133</v>
      </c>
      <c r="E36">
        <f t="shared" ref="E36:E43" si="70">E35+12</f>
        <v>720</v>
      </c>
      <c r="F36">
        <f t="shared" ref="F36:F43" si="71">F35+6</f>
        <v>369</v>
      </c>
      <c r="G36">
        <f t="shared" ref="G36:G43" si="72">G35+6</f>
        <v>369</v>
      </c>
      <c r="H36">
        <f t="shared" ref="H36:H43" si="73">H35+6</f>
        <v>399</v>
      </c>
      <c r="J36" s="3">
        <f t="shared" si="55"/>
        <v>7250</v>
      </c>
      <c r="K36" s="3">
        <f t="shared" si="56"/>
        <v>1895</v>
      </c>
      <c r="L36" s="3">
        <f t="shared" si="57"/>
        <v>1440</v>
      </c>
      <c r="M36">
        <f t="shared" si="58"/>
        <v>1217.7</v>
      </c>
      <c r="N36">
        <f t="shared" si="59"/>
        <v>864</v>
      </c>
      <c r="O36">
        <f t="shared" si="60"/>
        <v>885.6</v>
      </c>
      <c r="P36">
        <f t="shared" si="61"/>
        <v>1800.5</v>
      </c>
      <c r="Q36">
        <f t="shared" si="62"/>
        <v>1107</v>
      </c>
      <c r="R36">
        <f t="shared" si="63"/>
        <v>1458</v>
      </c>
      <c r="T36">
        <f t="shared" si="64"/>
        <v>4077.6899999999996</v>
      </c>
      <c r="U36">
        <f t="shared" si="65"/>
        <v>119629.72124999999</v>
      </c>
      <c r="V36">
        <f t="shared" si="66"/>
        <v>39863.07</v>
      </c>
      <c r="W36">
        <f t="shared" si="67"/>
        <v>2187</v>
      </c>
      <c r="X36">
        <f t="shared" si="68"/>
        <v>568.5</v>
      </c>
      <c r="Y36">
        <f t="shared" si="15"/>
        <v>166325</v>
      </c>
    </row>
    <row r="37" spans="1:25" ht="15.75" x14ac:dyDescent="0.3">
      <c r="A37">
        <v>33</v>
      </c>
      <c r="B37" t="s">
        <v>47</v>
      </c>
      <c r="C37" t="s">
        <v>44</v>
      </c>
      <c r="D37">
        <v>118700</v>
      </c>
      <c r="E37">
        <f t="shared" si="70"/>
        <v>732</v>
      </c>
      <c r="F37">
        <f t="shared" si="71"/>
        <v>375</v>
      </c>
      <c r="G37">
        <f t="shared" si="72"/>
        <v>375</v>
      </c>
      <c r="H37">
        <f t="shared" si="73"/>
        <v>405</v>
      </c>
      <c r="J37" s="3">
        <f t="shared" si="55"/>
        <v>7370</v>
      </c>
      <c r="K37" s="3">
        <f t="shared" si="56"/>
        <v>1925</v>
      </c>
      <c r="L37" s="3">
        <f t="shared" si="57"/>
        <v>1464</v>
      </c>
      <c r="M37">
        <f t="shared" si="58"/>
        <v>1237.5</v>
      </c>
      <c r="N37">
        <f t="shared" si="59"/>
        <v>878.4</v>
      </c>
      <c r="O37">
        <f t="shared" si="60"/>
        <v>900</v>
      </c>
      <c r="P37">
        <f t="shared" si="61"/>
        <v>1827.5</v>
      </c>
      <c r="Q37">
        <f t="shared" si="62"/>
        <v>1125</v>
      </c>
      <c r="R37">
        <f t="shared" si="63"/>
        <v>1482</v>
      </c>
      <c r="T37">
        <f t="shared" si="64"/>
        <v>4177.0212000000001</v>
      </c>
      <c r="U37">
        <f t="shared" si="65"/>
        <v>123424.78125</v>
      </c>
      <c r="V37">
        <f t="shared" si="66"/>
        <v>41118.75</v>
      </c>
      <c r="W37">
        <f t="shared" si="67"/>
        <v>2223</v>
      </c>
      <c r="X37">
        <f t="shared" si="68"/>
        <v>577.5</v>
      </c>
      <c r="Y37">
        <f t="shared" si="15"/>
        <v>171521</v>
      </c>
    </row>
    <row r="38" spans="1:25" ht="15.75" x14ac:dyDescent="0.3">
      <c r="A38">
        <v>34</v>
      </c>
      <c r="B38" t="s">
        <v>48</v>
      </c>
      <c r="C38" t="s">
        <v>44</v>
      </c>
      <c r="D38">
        <v>131667</v>
      </c>
      <c r="E38">
        <f t="shared" si="70"/>
        <v>744</v>
      </c>
      <c r="F38">
        <f t="shared" si="71"/>
        <v>381</v>
      </c>
      <c r="G38">
        <f t="shared" si="72"/>
        <v>381</v>
      </c>
      <c r="H38">
        <f t="shared" si="73"/>
        <v>411</v>
      </c>
      <c r="J38" s="3">
        <f t="shared" si="55"/>
        <v>7490</v>
      </c>
      <c r="K38" s="3">
        <f t="shared" si="56"/>
        <v>1955</v>
      </c>
      <c r="L38" s="3">
        <f t="shared" si="57"/>
        <v>1488</v>
      </c>
      <c r="M38">
        <f t="shared" si="58"/>
        <v>1257.3</v>
      </c>
      <c r="N38">
        <f t="shared" si="59"/>
        <v>892.8</v>
      </c>
      <c r="O38">
        <f t="shared" si="60"/>
        <v>914.4</v>
      </c>
      <c r="P38">
        <f t="shared" si="61"/>
        <v>1854.5</v>
      </c>
      <c r="Q38">
        <f t="shared" si="62"/>
        <v>1143</v>
      </c>
      <c r="R38">
        <f t="shared" si="63"/>
        <v>1506</v>
      </c>
      <c r="T38">
        <f t="shared" si="64"/>
        <v>4277.3891999999996</v>
      </c>
      <c r="U38">
        <f t="shared" si="65"/>
        <v>127278.97125000002</v>
      </c>
      <c r="V38">
        <f t="shared" si="66"/>
        <v>42393.87</v>
      </c>
      <c r="W38">
        <f t="shared" si="67"/>
        <v>2259</v>
      </c>
      <c r="X38">
        <f t="shared" si="68"/>
        <v>586.5</v>
      </c>
      <c r="Y38">
        <f t="shared" si="15"/>
        <v>176795</v>
      </c>
    </row>
    <row r="39" spans="1:25" ht="15.75" x14ac:dyDescent="0.3">
      <c r="A39">
        <v>35</v>
      </c>
      <c r="B39" t="s">
        <v>49</v>
      </c>
      <c r="C39" t="s">
        <v>44</v>
      </c>
      <c r="D39">
        <v>144633</v>
      </c>
      <c r="E39">
        <f t="shared" si="70"/>
        <v>756</v>
      </c>
      <c r="F39">
        <f t="shared" si="71"/>
        <v>387</v>
      </c>
      <c r="G39">
        <f t="shared" si="72"/>
        <v>387</v>
      </c>
      <c r="H39">
        <f t="shared" si="73"/>
        <v>417</v>
      </c>
      <c r="J39" s="3">
        <f t="shared" si="55"/>
        <v>7610</v>
      </c>
      <c r="K39" s="3">
        <f t="shared" si="56"/>
        <v>1985</v>
      </c>
      <c r="L39" s="3">
        <f t="shared" si="57"/>
        <v>1512</v>
      </c>
      <c r="M39">
        <f t="shared" si="58"/>
        <v>1277.0999999999999</v>
      </c>
      <c r="N39">
        <f t="shared" si="59"/>
        <v>907.19999999999993</v>
      </c>
      <c r="O39">
        <f t="shared" si="60"/>
        <v>928.8</v>
      </c>
      <c r="P39">
        <f t="shared" si="61"/>
        <v>1881.5</v>
      </c>
      <c r="Q39">
        <f t="shared" si="62"/>
        <v>1161</v>
      </c>
      <c r="R39">
        <f t="shared" si="63"/>
        <v>1530</v>
      </c>
      <c r="T39">
        <f t="shared" si="64"/>
        <v>4378.7939999999999</v>
      </c>
      <c r="U39">
        <f t="shared" si="65"/>
        <v>131192.29124999998</v>
      </c>
      <c r="V39">
        <f t="shared" si="66"/>
        <v>43688.43</v>
      </c>
      <c r="W39">
        <f t="shared" si="67"/>
        <v>2295</v>
      </c>
      <c r="X39">
        <f t="shared" si="68"/>
        <v>595.5</v>
      </c>
      <c r="Y39">
        <f t="shared" si="15"/>
        <v>182150</v>
      </c>
    </row>
    <row r="40" spans="1:25" ht="15.75" x14ac:dyDescent="0.3">
      <c r="A40">
        <v>36</v>
      </c>
      <c r="B40" t="s">
        <v>50</v>
      </c>
      <c r="C40" t="s">
        <v>44</v>
      </c>
      <c r="D40">
        <v>157600</v>
      </c>
      <c r="E40">
        <f t="shared" si="70"/>
        <v>768</v>
      </c>
      <c r="F40">
        <f t="shared" si="71"/>
        <v>393</v>
      </c>
      <c r="G40">
        <f t="shared" si="72"/>
        <v>393</v>
      </c>
      <c r="H40">
        <f t="shared" si="73"/>
        <v>423</v>
      </c>
      <c r="J40" s="3">
        <f t="shared" si="55"/>
        <v>7730</v>
      </c>
      <c r="K40" s="3">
        <f t="shared" si="56"/>
        <v>2015</v>
      </c>
      <c r="L40" s="3">
        <f t="shared" si="57"/>
        <v>1536</v>
      </c>
      <c r="M40">
        <f t="shared" si="58"/>
        <v>1296.9000000000001</v>
      </c>
      <c r="N40">
        <f t="shared" si="59"/>
        <v>921.59999999999991</v>
      </c>
      <c r="O40">
        <f t="shared" si="60"/>
        <v>943.19999999999993</v>
      </c>
      <c r="P40">
        <f t="shared" si="61"/>
        <v>1908.5</v>
      </c>
      <c r="Q40">
        <f t="shared" si="62"/>
        <v>1179</v>
      </c>
      <c r="R40">
        <f t="shared" si="63"/>
        <v>1554</v>
      </c>
      <c r="T40">
        <f t="shared" si="64"/>
        <v>4481.2356</v>
      </c>
      <c r="U40">
        <f t="shared" si="65"/>
        <v>135164.74125000002</v>
      </c>
      <c r="V40">
        <f t="shared" si="66"/>
        <v>45002.43</v>
      </c>
      <c r="W40">
        <f t="shared" si="67"/>
        <v>2331</v>
      </c>
      <c r="X40">
        <f t="shared" si="68"/>
        <v>604.5</v>
      </c>
      <c r="Y40">
        <f t="shared" si="15"/>
        <v>187583</v>
      </c>
    </row>
    <row r="41" spans="1:25" ht="15.75" x14ac:dyDescent="0.3">
      <c r="A41">
        <v>37</v>
      </c>
      <c r="B41" t="s">
        <v>51</v>
      </c>
      <c r="C41" t="s">
        <v>44</v>
      </c>
      <c r="D41">
        <v>186775</v>
      </c>
      <c r="E41">
        <f t="shared" si="70"/>
        <v>780</v>
      </c>
      <c r="F41">
        <f t="shared" si="71"/>
        <v>399</v>
      </c>
      <c r="G41">
        <f t="shared" si="72"/>
        <v>399</v>
      </c>
      <c r="H41">
        <f t="shared" si="73"/>
        <v>429</v>
      </c>
      <c r="J41" s="3">
        <f t="shared" si="55"/>
        <v>7850</v>
      </c>
      <c r="K41" s="3">
        <f t="shared" si="56"/>
        <v>2045</v>
      </c>
      <c r="L41" s="3">
        <f t="shared" si="57"/>
        <v>1560</v>
      </c>
      <c r="M41">
        <f t="shared" si="58"/>
        <v>1316.7</v>
      </c>
      <c r="N41">
        <f t="shared" si="59"/>
        <v>936</v>
      </c>
      <c r="O41">
        <f t="shared" si="60"/>
        <v>957.59999999999991</v>
      </c>
      <c r="P41">
        <f t="shared" si="61"/>
        <v>1935.5</v>
      </c>
      <c r="Q41">
        <f t="shared" si="62"/>
        <v>1197</v>
      </c>
      <c r="R41">
        <f t="shared" si="63"/>
        <v>1578</v>
      </c>
      <c r="T41">
        <f t="shared" si="64"/>
        <v>4584.7139999999999</v>
      </c>
      <c r="U41">
        <f t="shared" si="65"/>
        <v>139196.32124999998</v>
      </c>
      <c r="V41">
        <f t="shared" si="66"/>
        <v>46335.87</v>
      </c>
      <c r="W41">
        <f t="shared" si="67"/>
        <v>2367</v>
      </c>
      <c r="X41">
        <f t="shared" si="68"/>
        <v>613.5</v>
      </c>
      <c r="Y41">
        <f t="shared" si="15"/>
        <v>193097</v>
      </c>
    </row>
    <row r="42" spans="1:25" ht="15.75" x14ac:dyDescent="0.3">
      <c r="A42">
        <v>38</v>
      </c>
      <c r="B42" t="s">
        <v>52</v>
      </c>
      <c r="C42" t="s">
        <v>44</v>
      </c>
      <c r="D42">
        <v>215950</v>
      </c>
      <c r="E42">
        <f t="shared" si="70"/>
        <v>792</v>
      </c>
      <c r="F42">
        <f t="shared" si="71"/>
        <v>405</v>
      </c>
      <c r="G42">
        <f t="shared" si="72"/>
        <v>405</v>
      </c>
      <c r="H42">
        <f t="shared" si="73"/>
        <v>435</v>
      </c>
      <c r="J42" s="3">
        <f t="shared" si="55"/>
        <v>7970</v>
      </c>
      <c r="K42" s="3">
        <f t="shared" si="56"/>
        <v>2075</v>
      </c>
      <c r="L42" s="3">
        <f t="shared" si="57"/>
        <v>1584</v>
      </c>
      <c r="M42">
        <f t="shared" si="58"/>
        <v>1336.5</v>
      </c>
      <c r="N42">
        <f t="shared" si="59"/>
        <v>950.4</v>
      </c>
      <c r="O42">
        <f t="shared" si="60"/>
        <v>972</v>
      </c>
      <c r="P42">
        <f t="shared" si="61"/>
        <v>1962.5</v>
      </c>
      <c r="Q42">
        <f t="shared" si="62"/>
        <v>1215</v>
      </c>
      <c r="R42">
        <f t="shared" si="63"/>
        <v>1602</v>
      </c>
      <c r="T42">
        <f t="shared" si="64"/>
        <v>4689.2291999999998</v>
      </c>
      <c r="U42">
        <f t="shared" si="65"/>
        <v>143287.03125</v>
      </c>
      <c r="V42">
        <f t="shared" si="66"/>
        <v>47688.75</v>
      </c>
      <c r="W42">
        <f t="shared" si="67"/>
        <v>2403</v>
      </c>
      <c r="X42">
        <f t="shared" si="68"/>
        <v>622.5</v>
      </c>
      <c r="Y42">
        <f t="shared" si="15"/>
        <v>198690</v>
      </c>
    </row>
    <row r="43" spans="1:25" ht="15.75" x14ac:dyDescent="0.3">
      <c r="A43">
        <v>39</v>
      </c>
      <c r="B43" t="s">
        <v>53</v>
      </c>
      <c r="C43" t="s">
        <v>44</v>
      </c>
      <c r="D43">
        <v>245125</v>
      </c>
      <c r="E43">
        <f t="shared" si="70"/>
        <v>804</v>
      </c>
      <c r="F43">
        <f t="shared" si="71"/>
        <v>411</v>
      </c>
      <c r="G43">
        <f t="shared" si="72"/>
        <v>411</v>
      </c>
      <c r="H43">
        <f t="shared" si="73"/>
        <v>441</v>
      </c>
      <c r="J43" s="3">
        <f t="shared" si="55"/>
        <v>8090</v>
      </c>
      <c r="K43" s="3">
        <f t="shared" si="56"/>
        <v>2105</v>
      </c>
      <c r="L43" s="3">
        <f t="shared" si="57"/>
        <v>1608</v>
      </c>
      <c r="M43">
        <f t="shared" si="58"/>
        <v>1356.3</v>
      </c>
      <c r="N43">
        <f t="shared" si="59"/>
        <v>964.8</v>
      </c>
      <c r="O43">
        <f t="shared" si="60"/>
        <v>986.4</v>
      </c>
      <c r="P43">
        <f t="shared" si="61"/>
        <v>1989.5</v>
      </c>
      <c r="Q43">
        <f t="shared" si="62"/>
        <v>1233</v>
      </c>
      <c r="R43">
        <f t="shared" si="63"/>
        <v>1626</v>
      </c>
      <c r="T43">
        <f t="shared" si="64"/>
        <v>4794.7811999999994</v>
      </c>
      <c r="U43">
        <f t="shared" si="65"/>
        <v>147436.87125000003</v>
      </c>
      <c r="V43">
        <f t="shared" si="66"/>
        <v>49061.07</v>
      </c>
      <c r="W43">
        <f t="shared" si="67"/>
        <v>2439</v>
      </c>
      <c r="X43">
        <f t="shared" si="68"/>
        <v>631.5</v>
      </c>
      <c r="Y43">
        <f t="shared" si="15"/>
        <v>204363</v>
      </c>
    </row>
    <row r="44" spans="1:25" ht="15.75" x14ac:dyDescent="0.3">
      <c r="A44">
        <v>40</v>
      </c>
      <c r="B44" t="s">
        <v>54</v>
      </c>
      <c r="C44" t="s">
        <v>55</v>
      </c>
      <c r="D44">
        <v>274300</v>
      </c>
      <c r="E44">
        <f>FLOOR(E43*1.8,1)</f>
        <v>1447</v>
      </c>
      <c r="F44">
        <f t="shared" ref="F44:H44" si="74">FLOOR(F43*1.8,1)</f>
        <v>739</v>
      </c>
      <c r="G44">
        <f t="shared" si="74"/>
        <v>739</v>
      </c>
      <c r="H44">
        <f t="shared" si="74"/>
        <v>793</v>
      </c>
      <c r="J44" s="3">
        <f t="shared" si="55"/>
        <v>14520</v>
      </c>
      <c r="K44" s="3">
        <f t="shared" si="56"/>
        <v>3745</v>
      </c>
      <c r="L44" s="3">
        <f t="shared" si="57"/>
        <v>2894</v>
      </c>
      <c r="M44">
        <f t="shared" si="58"/>
        <v>2438.6999999999998</v>
      </c>
      <c r="N44">
        <f t="shared" si="59"/>
        <v>1736.3999999999999</v>
      </c>
      <c r="O44">
        <f t="shared" si="60"/>
        <v>1773.6</v>
      </c>
      <c r="P44">
        <f t="shared" si="61"/>
        <v>3537.5</v>
      </c>
      <c r="Q44">
        <f t="shared" si="62"/>
        <v>2217</v>
      </c>
      <c r="R44">
        <f t="shared" si="63"/>
        <v>2925</v>
      </c>
      <c r="T44">
        <f t="shared" si="64"/>
        <v>12000.779999999999</v>
      </c>
      <c r="U44">
        <f t="shared" si="65"/>
        <v>471610.65625</v>
      </c>
      <c r="V44">
        <f t="shared" si="66"/>
        <v>156852.75</v>
      </c>
      <c r="W44">
        <f t="shared" si="67"/>
        <v>4387.5</v>
      </c>
      <c r="X44">
        <f t="shared" si="68"/>
        <v>1123.5</v>
      </c>
      <c r="Y44">
        <f t="shared" si="15"/>
        <v>645975</v>
      </c>
    </row>
    <row r="45" spans="1:25" ht="15.75" x14ac:dyDescent="0.3">
      <c r="A45">
        <v>41</v>
      </c>
      <c r="B45" t="s">
        <v>56</v>
      </c>
      <c r="C45" t="s">
        <v>55</v>
      </c>
      <c r="D45">
        <v>313667</v>
      </c>
      <c r="E45">
        <f>E44+20</f>
        <v>1467</v>
      </c>
      <c r="F45">
        <f>F44+8</f>
        <v>747</v>
      </c>
      <c r="G45">
        <f t="shared" ref="G45:H45" si="75">G44+8</f>
        <v>747</v>
      </c>
      <c r="H45">
        <f t="shared" si="75"/>
        <v>801</v>
      </c>
      <c r="J45" s="3">
        <f t="shared" si="55"/>
        <v>14720</v>
      </c>
      <c r="K45" s="3">
        <f t="shared" si="56"/>
        <v>3785</v>
      </c>
      <c r="L45" s="3">
        <f t="shared" si="57"/>
        <v>2934</v>
      </c>
      <c r="M45">
        <f t="shared" si="58"/>
        <v>2465.1</v>
      </c>
      <c r="N45">
        <f t="shared" si="59"/>
        <v>1760.3999999999999</v>
      </c>
      <c r="O45">
        <f t="shared" si="60"/>
        <v>1792.8</v>
      </c>
      <c r="P45">
        <f t="shared" si="61"/>
        <v>3573.5</v>
      </c>
      <c r="Q45">
        <f t="shared" si="62"/>
        <v>2241</v>
      </c>
      <c r="R45">
        <f t="shared" si="63"/>
        <v>2961</v>
      </c>
      <c r="T45">
        <f t="shared" si="64"/>
        <v>12261.465599999998</v>
      </c>
      <c r="U45">
        <f t="shared" si="65"/>
        <v>482342.09625000006</v>
      </c>
      <c r="V45">
        <f t="shared" si="66"/>
        <v>160164.26999999999</v>
      </c>
      <c r="W45">
        <f t="shared" si="67"/>
        <v>4441.5</v>
      </c>
      <c r="X45">
        <f t="shared" si="68"/>
        <v>1135.5</v>
      </c>
      <c r="Y45">
        <f t="shared" si="15"/>
        <v>660344</v>
      </c>
    </row>
    <row r="46" spans="1:25" ht="15.75" x14ac:dyDescent="0.3">
      <c r="A46">
        <v>42</v>
      </c>
      <c r="B46" t="s">
        <v>57</v>
      </c>
      <c r="C46" t="s">
        <v>55</v>
      </c>
      <c r="D46">
        <v>353033</v>
      </c>
      <c r="E46">
        <f t="shared" ref="E46:E53" si="76">E45+20</f>
        <v>1487</v>
      </c>
      <c r="F46">
        <f t="shared" ref="F46:F53" si="77">F45+8</f>
        <v>755</v>
      </c>
      <c r="G46">
        <f t="shared" ref="G46:G53" si="78">G45+8</f>
        <v>755</v>
      </c>
      <c r="H46">
        <f t="shared" ref="H46:H53" si="79">H45+8</f>
        <v>809</v>
      </c>
      <c r="J46" s="3">
        <f t="shared" si="55"/>
        <v>14920</v>
      </c>
      <c r="K46" s="3">
        <f t="shared" si="56"/>
        <v>3825</v>
      </c>
      <c r="L46" s="3">
        <f t="shared" si="57"/>
        <v>2974</v>
      </c>
      <c r="M46">
        <f t="shared" si="58"/>
        <v>2491.5</v>
      </c>
      <c r="N46">
        <f t="shared" si="59"/>
        <v>1784.3999999999999</v>
      </c>
      <c r="O46">
        <f t="shared" si="60"/>
        <v>1812</v>
      </c>
      <c r="P46">
        <f t="shared" si="61"/>
        <v>3609.5</v>
      </c>
      <c r="Q46">
        <f t="shared" si="62"/>
        <v>2265</v>
      </c>
      <c r="R46">
        <f t="shared" si="63"/>
        <v>2997</v>
      </c>
      <c r="T46">
        <f t="shared" si="64"/>
        <v>12524.743199999999</v>
      </c>
      <c r="U46">
        <f t="shared" si="65"/>
        <v>493193.05625000002</v>
      </c>
      <c r="V46">
        <f t="shared" si="66"/>
        <v>163510.35</v>
      </c>
      <c r="W46">
        <f t="shared" si="67"/>
        <v>4495.5</v>
      </c>
      <c r="X46">
        <f t="shared" si="68"/>
        <v>1147.5</v>
      </c>
      <c r="Y46">
        <f t="shared" si="15"/>
        <v>674871</v>
      </c>
    </row>
    <row r="47" spans="1:25" ht="15.75" x14ac:dyDescent="0.3">
      <c r="A47">
        <v>43</v>
      </c>
      <c r="B47" t="s">
        <v>58</v>
      </c>
      <c r="C47" t="s">
        <v>55</v>
      </c>
      <c r="D47">
        <v>392400</v>
      </c>
      <c r="E47">
        <f t="shared" si="76"/>
        <v>1507</v>
      </c>
      <c r="F47">
        <f t="shared" si="77"/>
        <v>763</v>
      </c>
      <c r="G47">
        <f t="shared" si="78"/>
        <v>763</v>
      </c>
      <c r="H47">
        <f t="shared" si="79"/>
        <v>817</v>
      </c>
      <c r="J47" s="3">
        <f t="shared" si="55"/>
        <v>15120</v>
      </c>
      <c r="K47" s="3">
        <f t="shared" si="56"/>
        <v>3865</v>
      </c>
      <c r="L47" s="3">
        <f t="shared" si="57"/>
        <v>3014</v>
      </c>
      <c r="M47">
        <f t="shared" si="58"/>
        <v>2517.9</v>
      </c>
      <c r="N47">
        <f t="shared" si="59"/>
        <v>1808.3999999999999</v>
      </c>
      <c r="O47">
        <f t="shared" si="60"/>
        <v>1831.2</v>
      </c>
      <c r="P47">
        <f t="shared" si="61"/>
        <v>3645.5</v>
      </c>
      <c r="Q47">
        <f t="shared" si="62"/>
        <v>2289</v>
      </c>
      <c r="R47">
        <f t="shared" si="63"/>
        <v>3033</v>
      </c>
      <c r="T47">
        <f t="shared" si="64"/>
        <v>12790.612799999999</v>
      </c>
      <c r="U47">
        <f t="shared" si="65"/>
        <v>504163.53624999995</v>
      </c>
      <c r="V47">
        <f t="shared" si="66"/>
        <v>166890.99</v>
      </c>
      <c r="W47">
        <f t="shared" si="67"/>
        <v>4549.5</v>
      </c>
      <c r="X47">
        <f t="shared" si="68"/>
        <v>1159.5</v>
      </c>
      <c r="Y47">
        <f t="shared" si="15"/>
        <v>689554</v>
      </c>
    </row>
    <row r="48" spans="1:25" ht="15.75" x14ac:dyDescent="0.3">
      <c r="A48">
        <v>44</v>
      </c>
      <c r="B48" t="s">
        <v>59</v>
      </c>
      <c r="C48" t="s">
        <v>55</v>
      </c>
      <c r="D48">
        <v>432267</v>
      </c>
      <c r="E48">
        <f t="shared" si="76"/>
        <v>1527</v>
      </c>
      <c r="F48">
        <f t="shared" si="77"/>
        <v>771</v>
      </c>
      <c r="G48">
        <f t="shared" si="78"/>
        <v>771</v>
      </c>
      <c r="H48">
        <f t="shared" si="79"/>
        <v>825</v>
      </c>
      <c r="J48" s="3">
        <f t="shared" si="55"/>
        <v>15320</v>
      </c>
      <c r="K48" s="3">
        <f t="shared" si="56"/>
        <v>3905</v>
      </c>
      <c r="L48" s="3">
        <f t="shared" si="57"/>
        <v>3054</v>
      </c>
      <c r="M48">
        <f t="shared" si="58"/>
        <v>2544.3000000000002</v>
      </c>
      <c r="N48">
        <f t="shared" si="59"/>
        <v>1832.3999999999999</v>
      </c>
      <c r="O48">
        <f t="shared" si="60"/>
        <v>1850.3999999999999</v>
      </c>
      <c r="P48">
        <f t="shared" si="61"/>
        <v>3681.5</v>
      </c>
      <c r="Q48">
        <f t="shared" si="62"/>
        <v>2313</v>
      </c>
      <c r="R48">
        <f t="shared" si="63"/>
        <v>3069</v>
      </c>
      <c r="T48">
        <f t="shared" si="64"/>
        <v>13059.074399999998</v>
      </c>
      <c r="U48">
        <f t="shared" si="65"/>
        <v>515253.53624999995</v>
      </c>
      <c r="V48">
        <f t="shared" si="66"/>
        <v>170306.19</v>
      </c>
      <c r="W48">
        <f t="shared" si="67"/>
        <v>4603.5</v>
      </c>
      <c r="X48">
        <f t="shared" si="68"/>
        <v>1171.5</v>
      </c>
      <c r="Y48">
        <f t="shared" si="15"/>
        <v>704393</v>
      </c>
    </row>
    <row r="49" spans="1:25" ht="15.75" x14ac:dyDescent="0.3">
      <c r="A49">
        <v>45</v>
      </c>
      <c r="B49" t="s">
        <v>60</v>
      </c>
      <c r="C49" t="s">
        <v>55</v>
      </c>
      <c r="D49">
        <v>472133</v>
      </c>
      <c r="E49">
        <f t="shared" si="76"/>
        <v>1547</v>
      </c>
      <c r="F49">
        <f t="shared" si="77"/>
        <v>779</v>
      </c>
      <c r="G49">
        <f t="shared" si="78"/>
        <v>779</v>
      </c>
      <c r="H49">
        <f t="shared" si="79"/>
        <v>833</v>
      </c>
      <c r="J49" s="3">
        <f t="shared" si="55"/>
        <v>15520</v>
      </c>
      <c r="K49" s="3">
        <f t="shared" si="56"/>
        <v>3945</v>
      </c>
      <c r="L49" s="3">
        <f t="shared" si="57"/>
        <v>3094</v>
      </c>
      <c r="M49">
        <f t="shared" si="58"/>
        <v>2570.6999999999998</v>
      </c>
      <c r="N49">
        <f t="shared" si="59"/>
        <v>1856.3999999999999</v>
      </c>
      <c r="O49">
        <f t="shared" si="60"/>
        <v>1869.6</v>
      </c>
      <c r="P49">
        <f t="shared" si="61"/>
        <v>3717.5</v>
      </c>
      <c r="Q49">
        <f t="shared" si="62"/>
        <v>2337</v>
      </c>
      <c r="R49">
        <f t="shared" si="63"/>
        <v>3105</v>
      </c>
      <c r="T49">
        <f t="shared" si="64"/>
        <v>13330.128000000001</v>
      </c>
      <c r="U49">
        <f t="shared" si="65"/>
        <v>526463.05625000002</v>
      </c>
      <c r="V49">
        <f t="shared" si="66"/>
        <v>173755.95</v>
      </c>
      <c r="W49">
        <f t="shared" si="67"/>
        <v>4657.5</v>
      </c>
      <c r="X49">
        <f t="shared" si="68"/>
        <v>1183.5</v>
      </c>
      <c r="Y49">
        <f t="shared" si="15"/>
        <v>719390</v>
      </c>
    </row>
    <row r="50" spans="1:25" ht="15.75" x14ac:dyDescent="0.3">
      <c r="A50">
        <v>46</v>
      </c>
      <c r="B50" t="s">
        <v>61</v>
      </c>
      <c r="C50" t="s">
        <v>55</v>
      </c>
      <c r="D50">
        <v>512000</v>
      </c>
      <c r="E50">
        <f t="shared" si="76"/>
        <v>1567</v>
      </c>
      <c r="F50">
        <f t="shared" si="77"/>
        <v>787</v>
      </c>
      <c r="G50">
        <f t="shared" si="78"/>
        <v>787</v>
      </c>
      <c r="H50">
        <f t="shared" si="79"/>
        <v>841</v>
      </c>
      <c r="J50" s="3">
        <f t="shared" si="55"/>
        <v>15720</v>
      </c>
      <c r="K50" s="3">
        <f t="shared" si="56"/>
        <v>3985</v>
      </c>
      <c r="L50" s="3">
        <f t="shared" si="57"/>
        <v>3134</v>
      </c>
      <c r="M50">
        <f t="shared" si="58"/>
        <v>2597.1</v>
      </c>
      <c r="N50">
        <f t="shared" si="59"/>
        <v>1880.3999999999999</v>
      </c>
      <c r="O50">
        <f t="shared" si="60"/>
        <v>1888.8</v>
      </c>
      <c r="P50">
        <f t="shared" si="61"/>
        <v>3753.5</v>
      </c>
      <c r="Q50">
        <f t="shared" si="62"/>
        <v>2361</v>
      </c>
      <c r="R50">
        <f t="shared" si="63"/>
        <v>3141</v>
      </c>
      <c r="T50">
        <f t="shared" si="64"/>
        <v>13603.773599999999</v>
      </c>
      <c r="U50">
        <f t="shared" si="65"/>
        <v>537792.09625000006</v>
      </c>
      <c r="V50">
        <f t="shared" si="66"/>
        <v>177240.27</v>
      </c>
      <c r="W50">
        <f t="shared" si="67"/>
        <v>4711.5</v>
      </c>
      <c r="X50">
        <f t="shared" si="68"/>
        <v>1195.5</v>
      </c>
      <c r="Y50">
        <f t="shared" si="15"/>
        <v>734543</v>
      </c>
    </row>
    <row r="51" spans="1:25" ht="15.75" x14ac:dyDescent="0.3">
      <c r="A51">
        <v>47</v>
      </c>
      <c r="B51" t="s">
        <v>62</v>
      </c>
      <c r="C51" t="s">
        <v>55</v>
      </c>
      <c r="D51">
        <v>542300</v>
      </c>
      <c r="E51">
        <f t="shared" si="76"/>
        <v>1587</v>
      </c>
      <c r="F51">
        <f t="shared" si="77"/>
        <v>795</v>
      </c>
      <c r="G51">
        <f t="shared" si="78"/>
        <v>795</v>
      </c>
      <c r="H51">
        <f t="shared" si="79"/>
        <v>849</v>
      </c>
      <c r="J51" s="3">
        <f t="shared" si="55"/>
        <v>15920</v>
      </c>
      <c r="K51" s="3">
        <f t="shared" si="56"/>
        <v>4025</v>
      </c>
      <c r="L51" s="3">
        <f t="shared" si="57"/>
        <v>3174</v>
      </c>
      <c r="M51">
        <f t="shared" si="58"/>
        <v>2623.5</v>
      </c>
      <c r="N51">
        <f t="shared" si="59"/>
        <v>1904.3999999999999</v>
      </c>
      <c r="O51">
        <f t="shared" si="60"/>
        <v>1908</v>
      </c>
      <c r="P51">
        <f t="shared" si="61"/>
        <v>3789.5</v>
      </c>
      <c r="Q51">
        <f t="shared" si="62"/>
        <v>2385</v>
      </c>
      <c r="R51">
        <f t="shared" si="63"/>
        <v>3177</v>
      </c>
      <c r="T51">
        <f t="shared" si="64"/>
        <v>13880.011200000001</v>
      </c>
      <c r="U51">
        <f t="shared" si="65"/>
        <v>549240.65625</v>
      </c>
      <c r="V51">
        <f t="shared" si="66"/>
        <v>180759.15</v>
      </c>
      <c r="W51">
        <f t="shared" si="67"/>
        <v>4765.5</v>
      </c>
      <c r="X51">
        <f t="shared" si="68"/>
        <v>1207.5</v>
      </c>
      <c r="Y51">
        <f t="shared" si="15"/>
        <v>749852</v>
      </c>
    </row>
    <row r="52" spans="1:25" ht="15.75" x14ac:dyDescent="0.3">
      <c r="A52">
        <v>48</v>
      </c>
      <c r="B52" t="s">
        <v>63</v>
      </c>
      <c r="C52" t="s">
        <v>55</v>
      </c>
      <c r="D52">
        <v>572600</v>
      </c>
      <c r="E52">
        <f t="shared" si="76"/>
        <v>1607</v>
      </c>
      <c r="F52">
        <f t="shared" si="77"/>
        <v>803</v>
      </c>
      <c r="G52">
        <f t="shared" si="78"/>
        <v>803</v>
      </c>
      <c r="H52">
        <f t="shared" si="79"/>
        <v>857</v>
      </c>
      <c r="J52" s="3">
        <f t="shared" si="55"/>
        <v>16120</v>
      </c>
      <c r="K52" s="3">
        <f t="shared" si="56"/>
        <v>4065</v>
      </c>
      <c r="L52" s="3">
        <f t="shared" si="57"/>
        <v>3214</v>
      </c>
      <c r="M52">
        <f t="shared" si="58"/>
        <v>2649.9</v>
      </c>
      <c r="N52">
        <f t="shared" si="59"/>
        <v>1928.3999999999999</v>
      </c>
      <c r="O52">
        <f t="shared" si="60"/>
        <v>1927.1999999999998</v>
      </c>
      <c r="P52">
        <f t="shared" si="61"/>
        <v>3825.5</v>
      </c>
      <c r="Q52">
        <f t="shared" si="62"/>
        <v>2409</v>
      </c>
      <c r="R52">
        <f t="shared" si="63"/>
        <v>3213</v>
      </c>
      <c r="T52">
        <f t="shared" si="64"/>
        <v>14158.8408</v>
      </c>
      <c r="U52">
        <f t="shared" si="65"/>
        <v>560808.73624999996</v>
      </c>
      <c r="V52">
        <f t="shared" si="66"/>
        <v>184312.59</v>
      </c>
      <c r="W52">
        <f t="shared" si="67"/>
        <v>4819.5</v>
      </c>
      <c r="X52">
        <f t="shared" si="68"/>
        <v>1219.5</v>
      </c>
      <c r="Y52">
        <f t="shared" si="15"/>
        <v>765319</v>
      </c>
    </row>
    <row r="53" spans="1:25" ht="15.75" x14ac:dyDescent="0.3">
      <c r="A53">
        <v>49</v>
      </c>
      <c r="B53" t="s">
        <v>64</v>
      </c>
      <c r="C53" t="s">
        <v>55</v>
      </c>
      <c r="D53">
        <v>602900</v>
      </c>
      <c r="E53">
        <f t="shared" si="76"/>
        <v>1627</v>
      </c>
      <c r="F53">
        <f t="shared" si="77"/>
        <v>811</v>
      </c>
      <c r="G53">
        <f t="shared" si="78"/>
        <v>811</v>
      </c>
      <c r="H53">
        <f t="shared" si="79"/>
        <v>865</v>
      </c>
      <c r="J53" s="3">
        <f t="shared" si="55"/>
        <v>16320</v>
      </c>
      <c r="K53" s="3">
        <f t="shared" si="56"/>
        <v>4105</v>
      </c>
      <c r="L53" s="3">
        <f t="shared" si="57"/>
        <v>3254</v>
      </c>
      <c r="M53">
        <f t="shared" si="58"/>
        <v>2676.3</v>
      </c>
      <c r="N53">
        <f t="shared" si="59"/>
        <v>1952.3999999999999</v>
      </c>
      <c r="O53">
        <f t="shared" si="60"/>
        <v>1946.3999999999999</v>
      </c>
      <c r="P53">
        <f t="shared" si="61"/>
        <v>3861.5</v>
      </c>
      <c r="Q53">
        <f t="shared" si="62"/>
        <v>2433</v>
      </c>
      <c r="R53">
        <f t="shared" si="63"/>
        <v>3249</v>
      </c>
      <c r="T53">
        <f t="shared" si="64"/>
        <v>14440.2624</v>
      </c>
      <c r="U53">
        <f t="shared" si="65"/>
        <v>572496.33624999993</v>
      </c>
      <c r="V53">
        <f t="shared" si="66"/>
        <v>187900.59</v>
      </c>
      <c r="W53">
        <f t="shared" si="67"/>
        <v>4873.5</v>
      </c>
      <c r="X53">
        <f t="shared" si="68"/>
        <v>1231.5</v>
      </c>
      <c r="Y53">
        <f t="shared" si="15"/>
        <v>780942</v>
      </c>
    </row>
    <row r="54" spans="1:25" ht="15.75" x14ac:dyDescent="0.3">
      <c r="A54">
        <v>50</v>
      </c>
      <c r="B54" t="s">
        <v>65</v>
      </c>
      <c r="C54" t="s">
        <v>66</v>
      </c>
      <c r="D54">
        <v>633200</v>
      </c>
      <c r="E54">
        <f>FLOOR(E53*1.5,1)</f>
        <v>2440</v>
      </c>
      <c r="F54">
        <f t="shared" ref="F54:H54" si="80">FLOOR(F53*1.5,1)</f>
        <v>1216</v>
      </c>
      <c r="G54">
        <f t="shared" si="80"/>
        <v>1216</v>
      </c>
      <c r="H54">
        <f t="shared" si="80"/>
        <v>1297</v>
      </c>
      <c r="J54" s="3">
        <f t="shared" si="55"/>
        <v>24450</v>
      </c>
      <c r="K54" s="3">
        <f t="shared" si="56"/>
        <v>6130</v>
      </c>
      <c r="L54" s="3">
        <f t="shared" si="57"/>
        <v>4880</v>
      </c>
      <c r="M54">
        <f t="shared" si="58"/>
        <v>4012.8</v>
      </c>
      <c r="N54">
        <f t="shared" si="59"/>
        <v>2928</v>
      </c>
      <c r="O54">
        <f t="shared" si="60"/>
        <v>2918.4</v>
      </c>
      <c r="P54">
        <f t="shared" si="61"/>
        <v>5765</v>
      </c>
      <c r="Q54">
        <f t="shared" si="62"/>
        <v>3648</v>
      </c>
      <c r="R54">
        <f t="shared" si="63"/>
        <v>4872</v>
      </c>
      <c r="T54">
        <f t="shared" si="64"/>
        <v>28776.672000000002</v>
      </c>
      <c r="U54">
        <f t="shared" si="65"/>
        <v>1281674.7999999998</v>
      </c>
      <c r="V54">
        <f t="shared" si="66"/>
        <v>420614.40000000002</v>
      </c>
      <c r="W54">
        <f t="shared" si="67"/>
        <v>7308</v>
      </c>
      <c r="X54">
        <f t="shared" si="68"/>
        <v>1839</v>
      </c>
      <c r="Y54">
        <f t="shared" si="15"/>
        <v>1740212</v>
      </c>
    </row>
    <row r="55" spans="1:25" ht="15.75" x14ac:dyDescent="0.3">
      <c r="A55">
        <v>51</v>
      </c>
      <c r="B55" t="s">
        <v>67</v>
      </c>
      <c r="C55" t="s">
        <v>66</v>
      </c>
      <c r="D55">
        <v>674167</v>
      </c>
      <c r="E55">
        <f>E54+30</f>
        <v>2470</v>
      </c>
      <c r="F55">
        <f>F54+10</f>
        <v>1226</v>
      </c>
      <c r="G55">
        <f t="shared" ref="G55:H55" si="81">G54+10</f>
        <v>1226</v>
      </c>
      <c r="H55">
        <f t="shared" si="81"/>
        <v>1307</v>
      </c>
      <c r="J55" s="3">
        <f t="shared" si="55"/>
        <v>24750</v>
      </c>
      <c r="K55" s="3">
        <f t="shared" si="56"/>
        <v>6180</v>
      </c>
      <c r="L55" s="3">
        <f t="shared" si="57"/>
        <v>4940</v>
      </c>
      <c r="M55">
        <f t="shared" si="58"/>
        <v>4045.8</v>
      </c>
      <c r="N55">
        <f t="shared" si="59"/>
        <v>2964</v>
      </c>
      <c r="O55">
        <f t="shared" si="60"/>
        <v>2942.4</v>
      </c>
      <c r="P55">
        <f t="shared" si="61"/>
        <v>5810</v>
      </c>
      <c r="Q55">
        <f t="shared" si="62"/>
        <v>3678</v>
      </c>
      <c r="R55">
        <f t="shared" si="63"/>
        <v>4922</v>
      </c>
      <c r="T55">
        <f t="shared" si="64"/>
        <v>29352.510000000002</v>
      </c>
      <c r="U55">
        <f t="shared" si="65"/>
        <v>1305187.4499999997</v>
      </c>
      <c r="V55">
        <f t="shared" si="66"/>
        <v>427383.6</v>
      </c>
      <c r="W55">
        <f t="shared" si="67"/>
        <v>7383</v>
      </c>
      <c r="X55">
        <f t="shared" si="68"/>
        <v>1854</v>
      </c>
      <c r="Y55">
        <f t="shared" si="15"/>
        <v>1771160</v>
      </c>
    </row>
    <row r="56" spans="1:25" ht="15.75" x14ac:dyDescent="0.3">
      <c r="A56">
        <v>52</v>
      </c>
      <c r="B56" t="s">
        <v>68</v>
      </c>
      <c r="C56" t="s">
        <v>66</v>
      </c>
      <c r="D56">
        <v>715133</v>
      </c>
      <c r="E56">
        <f t="shared" ref="E56:E63" si="82">E55+30</f>
        <v>2500</v>
      </c>
      <c r="F56">
        <f t="shared" ref="F56:F63" si="83">F55+10</f>
        <v>1236</v>
      </c>
      <c r="G56">
        <f t="shared" ref="G56:G63" si="84">G55+10</f>
        <v>1236</v>
      </c>
      <c r="H56">
        <f t="shared" ref="H56:H63" si="85">H55+10</f>
        <v>1317</v>
      </c>
      <c r="J56" s="3">
        <f t="shared" si="55"/>
        <v>25050</v>
      </c>
      <c r="K56" s="3">
        <f t="shared" si="56"/>
        <v>6230</v>
      </c>
      <c r="L56" s="3">
        <f t="shared" si="57"/>
        <v>5000</v>
      </c>
      <c r="M56">
        <f t="shared" si="58"/>
        <v>4078.8</v>
      </c>
      <c r="N56">
        <f t="shared" si="59"/>
        <v>3000</v>
      </c>
      <c r="O56">
        <f t="shared" si="60"/>
        <v>2966.4</v>
      </c>
      <c r="P56">
        <f t="shared" si="61"/>
        <v>5855</v>
      </c>
      <c r="Q56">
        <f t="shared" si="62"/>
        <v>3708</v>
      </c>
      <c r="R56">
        <f t="shared" si="63"/>
        <v>4972</v>
      </c>
      <c r="T56">
        <f t="shared" si="64"/>
        <v>29933.748</v>
      </c>
      <c r="U56">
        <f t="shared" si="65"/>
        <v>1328909.3499999996</v>
      </c>
      <c r="V56">
        <f t="shared" si="66"/>
        <v>434206.8</v>
      </c>
      <c r="W56">
        <f t="shared" si="67"/>
        <v>7458</v>
      </c>
      <c r="X56">
        <f t="shared" si="68"/>
        <v>1869</v>
      </c>
      <c r="Y56">
        <f t="shared" si="15"/>
        <v>1802376</v>
      </c>
    </row>
    <row r="57" spans="1:25" ht="15.75" x14ac:dyDescent="0.3">
      <c r="A57">
        <v>53</v>
      </c>
      <c r="B57" t="s">
        <v>69</v>
      </c>
      <c r="C57" t="s">
        <v>66</v>
      </c>
      <c r="D57">
        <v>756100</v>
      </c>
      <c r="E57">
        <f t="shared" si="82"/>
        <v>2530</v>
      </c>
      <c r="F57">
        <f t="shared" si="83"/>
        <v>1246</v>
      </c>
      <c r="G57">
        <f t="shared" si="84"/>
        <v>1246</v>
      </c>
      <c r="H57">
        <f t="shared" si="85"/>
        <v>1327</v>
      </c>
      <c r="J57" s="3">
        <f t="shared" si="55"/>
        <v>25350</v>
      </c>
      <c r="K57" s="3">
        <f t="shared" si="56"/>
        <v>6280</v>
      </c>
      <c r="L57" s="3">
        <f t="shared" si="57"/>
        <v>5060</v>
      </c>
      <c r="M57">
        <f t="shared" si="58"/>
        <v>4111.8</v>
      </c>
      <c r="N57">
        <f t="shared" si="59"/>
        <v>3036</v>
      </c>
      <c r="O57">
        <f t="shared" si="60"/>
        <v>2990.4</v>
      </c>
      <c r="P57">
        <f t="shared" si="61"/>
        <v>5900</v>
      </c>
      <c r="Q57">
        <f t="shared" si="62"/>
        <v>3738</v>
      </c>
      <c r="R57">
        <f t="shared" si="63"/>
        <v>5022</v>
      </c>
      <c r="T57">
        <f t="shared" si="64"/>
        <v>30520.385999999991</v>
      </c>
      <c r="U57">
        <f t="shared" si="65"/>
        <v>1352840.5</v>
      </c>
      <c r="V57">
        <f t="shared" si="66"/>
        <v>441084</v>
      </c>
      <c r="W57">
        <f t="shared" si="67"/>
        <v>7533</v>
      </c>
      <c r="X57">
        <f t="shared" si="68"/>
        <v>1884</v>
      </c>
      <c r="Y57">
        <f t="shared" si="15"/>
        <v>1833861</v>
      </c>
    </row>
    <row r="58" spans="1:25" ht="15.75" x14ac:dyDescent="0.3">
      <c r="A58">
        <v>54</v>
      </c>
      <c r="B58" t="s">
        <v>70</v>
      </c>
      <c r="C58" t="s">
        <v>66</v>
      </c>
      <c r="D58">
        <v>879000</v>
      </c>
      <c r="E58">
        <f t="shared" si="82"/>
        <v>2560</v>
      </c>
      <c r="F58">
        <f t="shared" si="83"/>
        <v>1256</v>
      </c>
      <c r="G58">
        <f t="shared" si="84"/>
        <v>1256</v>
      </c>
      <c r="H58">
        <f t="shared" si="85"/>
        <v>1337</v>
      </c>
      <c r="J58" s="3">
        <f t="shared" si="55"/>
        <v>25650</v>
      </c>
      <c r="K58" s="3">
        <f t="shared" si="56"/>
        <v>6330</v>
      </c>
      <c r="L58" s="3">
        <f t="shared" si="57"/>
        <v>5120</v>
      </c>
      <c r="M58">
        <f t="shared" si="58"/>
        <v>4144.8</v>
      </c>
      <c r="N58">
        <f t="shared" si="59"/>
        <v>3072</v>
      </c>
      <c r="O58">
        <f t="shared" si="60"/>
        <v>3014.4</v>
      </c>
      <c r="P58">
        <f t="shared" si="61"/>
        <v>5945</v>
      </c>
      <c r="Q58">
        <f t="shared" si="62"/>
        <v>3768</v>
      </c>
      <c r="R58">
        <f t="shared" si="63"/>
        <v>5072</v>
      </c>
      <c r="T58">
        <f t="shared" si="64"/>
        <v>31112.424000000003</v>
      </c>
      <c r="U58">
        <f t="shared" si="65"/>
        <v>1376980.8999999997</v>
      </c>
      <c r="V58">
        <f t="shared" si="66"/>
        <v>448015.2</v>
      </c>
      <c r="W58">
        <f t="shared" si="67"/>
        <v>7608</v>
      </c>
      <c r="X58">
        <f t="shared" si="68"/>
        <v>1899</v>
      </c>
      <c r="Y58">
        <f t="shared" si="15"/>
        <v>1865615</v>
      </c>
    </row>
    <row r="59" spans="1:25" ht="15.75" x14ac:dyDescent="0.3">
      <c r="A59">
        <v>55</v>
      </c>
      <c r="B59" t="s">
        <v>71</v>
      </c>
      <c r="C59" t="s">
        <v>66</v>
      </c>
      <c r="D59">
        <v>1001900</v>
      </c>
      <c r="E59">
        <f t="shared" si="82"/>
        <v>2590</v>
      </c>
      <c r="F59">
        <f t="shared" si="83"/>
        <v>1266</v>
      </c>
      <c r="G59">
        <f t="shared" si="84"/>
        <v>1266</v>
      </c>
      <c r="H59">
        <f t="shared" si="85"/>
        <v>1347</v>
      </c>
      <c r="J59" s="3">
        <f t="shared" si="55"/>
        <v>25950</v>
      </c>
      <c r="K59" s="3">
        <f t="shared" si="56"/>
        <v>6380</v>
      </c>
      <c r="L59" s="3">
        <f t="shared" si="57"/>
        <v>5180</v>
      </c>
      <c r="M59">
        <f t="shared" si="58"/>
        <v>4177.8</v>
      </c>
      <c r="N59">
        <f t="shared" si="59"/>
        <v>3108</v>
      </c>
      <c r="O59">
        <f t="shared" si="60"/>
        <v>3038.4</v>
      </c>
      <c r="P59">
        <f t="shared" si="61"/>
        <v>5990</v>
      </c>
      <c r="Q59">
        <f t="shared" si="62"/>
        <v>3798</v>
      </c>
      <c r="R59">
        <f t="shared" si="63"/>
        <v>5122</v>
      </c>
      <c r="T59">
        <f t="shared" si="64"/>
        <v>31709.861999999997</v>
      </c>
      <c r="U59">
        <f t="shared" si="65"/>
        <v>1401330.5499999998</v>
      </c>
      <c r="V59">
        <f t="shared" si="66"/>
        <v>455000.4</v>
      </c>
      <c r="W59">
        <f t="shared" si="67"/>
        <v>7683</v>
      </c>
      <c r="X59">
        <f t="shared" si="68"/>
        <v>1914</v>
      </c>
      <c r="Y59">
        <f t="shared" si="15"/>
        <v>1897637</v>
      </c>
    </row>
    <row r="60" spans="1:25" ht="15.75" x14ac:dyDescent="0.3">
      <c r="A60">
        <v>56</v>
      </c>
      <c r="B60" t="s">
        <v>72</v>
      </c>
      <c r="C60" t="s">
        <v>66</v>
      </c>
      <c r="D60">
        <v>1124800</v>
      </c>
      <c r="E60">
        <f t="shared" si="82"/>
        <v>2620</v>
      </c>
      <c r="F60">
        <f t="shared" si="83"/>
        <v>1276</v>
      </c>
      <c r="G60">
        <f t="shared" si="84"/>
        <v>1276</v>
      </c>
      <c r="H60">
        <f t="shared" si="85"/>
        <v>1357</v>
      </c>
      <c r="J60" s="3">
        <f t="shared" si="55"/>
        <v>26250</v>
      </c>
      <c r="K60" s="3">
        <f t="shared" si="56"/>
        <v>6430</v>
      </c>
      <c r="L60" s="3">
        <f t="shared" si="57"/>
        <v>5240</v>
      </c>
      <c r="M60">
        <f t="shared" si="58"/>
        <v>4210.8</v>
      </c>
      <c r="N60">
        <f t="shared" si="59"/>
        <v>3144</v>
      </c>
      <c r="O60">
        <f t="shared" si="60"/>
        <v>3062.4</v>
      </c>
      <c r="P60">
        <f t="shared" si="61"/>
        <v>6035</v>
      </c>
      <c r="Q60">
        <f t="shared" si="62"/>
        <v>3828</v>
      </c>
      <c r="R60">
        <f t="shared" si="63"/>
        <v>5172</v>
      </c>
      <c r="T60">
        <f t="shared" si="64"/>
        <v>32312.699999999997</v>
      </c>
      <c r="U60">
        <f t="shared" si="65"/>
        <v>1425889.4499999997</v>
      </c>
      <c r="V60">
        <f t="shared" si="66"/>
        <v>462039.6</v>
      </c>
      <c r="W60">
        <f t="shared" si="67"/>
        <v>7758</v>
      </c>
      <c r="X60">
        <f t="shared" si="68"/>
        <v>1929</v>
      </c>
      <c r="Y60">
        <f t="shared" si="15"/>
        <v>1929928</v>
      </c>
    </row>
    <row r="61" spans="1:25" ht="15.75" x14ac:dyDescent="0.3">
      <c r="A61">
        <v>57</v>
      </c>
      <c r="B61" t="s">
        <v>73</v>
      </c>
      <c r="C61" t="s">
        <v>66</v>
      </c>
      <c r="D61">
        <v>1217450</v>
      </c>
      <c r="E61">
        <f t="shared" si="82"/>
        <v>2650</v>
      </c>
      <c r="F61">
        <f t="shared" si="83"/>
        <v>1286</v>
      </c>
      <c r="G61">
        <f t="shared" si="84"/>
        <v>1286</v>
      </c>
      <c r="H61">
        <f t="shared" si="85"/>
        <v>1367</v>
      </c>
      <c r="J61" s="3">
        <f t="shared" si="55"/>
        <v>26550</v>
      </c>
      <c r="K61" s="3">
        <f t="shared" si="56"/>
        <v>6480</v>
      </c>
      <c r="L61" s="3">
        <f t="shared" si="57"/>
        <v>5300</v>
      </c>
      <c r="M61">
        <f t="shared" si="58"/>
        <v>4243.8</v>
      </c>
      <c r="N61">
        <f t="shared" si="59"/>
        <v>3180</v>
      </c>
      <c r="O61">
        <f t="shared" si="60"/>
        <v>3086.4</v>
      </c>
      <c r="P61">
        <f t="shared" si="61"/>
        <v>6080</v>
      </c>
      <c r="Q61">
        <f t="shared" si="62"/>
        <v>3858</v>
      </c>
      <c r="R61">
        <f t="shared" si="63"/>
        <v>5222</v>
      </c>
      <c r="T61">
        <f t="shared" si="64"/>
        <v>32920.938000000002</v>
      </c>
      <c r="U61">
        <f t="shared" si="65"/>
        <v>1450657.5999999999</v>
      </c>
      <c r="V61">
        <f t="shared" si="66"/>
        <v>469132.79999999999</v>
      </c>
      <c r="W61">
        <f t="shared" si="67"/>
        <v>7833</v>
      </c>
      <c r="X61">
        <f t="shared" si="68"/>
        <v>1944</v>
      </c>
      <c r="Y61">
        <f t="shared" si="15"/>
        <v>1962488</v>
      </c>
    </row>
    <row r="62" spans="1:25" ht="15.75" x14ac:dyDescent="0.3">
      <c r="A62">
        <v>58</v>
      </c>
      <c r="B62" t="s">
        <v>74</v>
      </c>
      <c r="C62" t="s">
        <v>66</v>
      </c>
      <c r="D62">
        <v>1310100</v>
      </c>
      <c r="E62">
        <f t="shared" si="82"/>
        <v>2680</v>
      </c>
      <c r="F62">
        <f t="shared" si="83"/>
        <v>1296</v>
      </c>
      <c r="G62">
        <f t="shared" si="84"/>
        <v>1296</v>
      </c>
      <c r="H62">
        <f t="shared" si="85"/>
        <v>1377</v>
      </c>
      <c r="J62" s="3">
        <f t="shared" si="55"/>
        <v>26850</v>
      </c>
      <c r="K62" s="3">
        <f t="shared" si="56"/>
        <v>6530</v>
      </c>
      <c r="L62" s="3">
        <f t="shared" si="57"/>
        <v>5360</v>
      </c>
      <c r="M62">
        <f t="shared" si="58"/>
        <v>4276.8</v>
      </c>
      <c r="N62">
        <f t="shared" si="59"/>
        <v>3216</v>
      </c>
      <c r="O62">
        <f t="shared" si="60"/>
        <v>3110.4</v>
      </c>
      <c r="P62">
        <f t="shared" si="61"/>
        <v>6125</v>
      </c>
      <c r="Q62">
        <f t="shared" si="62"/>
        <v>3888</v>
      </c>
      <c r="R62">
        <f t="shared" si="63"/>
        <v>5272</v>
      </c>
      <c r="T62">
        <f t="shared" si="64"/>
        <v>33534.576000000001</v>
      </c>
      <c r="U62">
        <f t="shared" si="65"/>
        <v>1475634.9999999998</v>
      </c>
      <c r="V62">
        <f t="shared" si="66"/>
        <v>476280</v>
      </c>
      <c r="W62">
        <f t="shared" si="67"/>
        <v>7908</v>
      </c>
      <c r="X62">
        <f t="shared" si="68"/>
        <v>1959</v>
      </c>
      <c r="Y62">
        <f t="shared" si="15"/>
        <v>1995316</v>
      </c>
    </row>
    <row r="63" spans="1:25" ht="15.75" x14ac:dyDescent="0.3">
      <c r="A63">
        <v>59</v>
      </c>
      <c r="B63" t="s">
        <v>75</v>
      </c>
      <c r="C63" t="s">
        <v>66</v>
      </c>
      <c r="D63">
        <v>1402750</v>
      </c>
      <c r="E63">
        <f t="shared" si="82"/>
        <v>2710</v>
      </c>
      <c r="F63">
        <f t="shared" si="83"/>
        <v>1306</v>
      </c>
      <c r="G63">
        <f t="shared" si="84"/>
        <v>1306</v>
      </c>
      <c r="H63">
        <f t="shared" si="85"/>
        <v>1387</v>
      </c>
      <c r="J63" s="3">
        <f t="shared" si="55"/>
        <v>27150</v>
      </c>
      <c r="K63" s="3">
        <f t="shared" si="56"/>
        <v>6580</v>
      </c>
      <c r="L63" s="3">
        <f t="shared" si="57"/>
        <v>5420</v>
      </c>
      <c r="M63">
        <f t="shared" si="58"/>
        <v>4309.8</v>
      </c>
      <c r="N63">
        <f t="shared" si="59"/>
        <v>3252</v>
      </c>
      <c r="O63">
        <f t="shared" si="60"/>
        <v>3134.4</v>
      </c>
      <c r="P63">
        <f t="shared" si="61"/>
        <v>6170</v>
      </c>
      <c r="Q63">
        <f t="shared" si="62"/>
        <v>3918</v>
      </c>
      <c r="R63">
        <f t="shared" si="63"/>
        <v>5322</v>
      </c>
      <c r="T63">
        <f t="shared" si="64"/>
        <v>34153.614000000001</v>
      </c>
      <c r="U63">
        <f t="shared" si="65"/>
        <v>1500821.65</v>
      </c>
      <c r="V63">
        <f t="shared" si="66"/>
        <v>483481.2</v>
      </c>
      <c r="W63">
        <f t="shared" si="67"/>
        <v>7983</v>
      </c>
      <c r="X63">
        <f t="shared" si="68"/>
        <v>1974</v>
      </c>
      <c r="Y63">
        <f t="shared" si="15"/>
        <v>2028413</v>
      </c>
    </row>
    <row r="64" spans="1:25" x14ac:dyDescent="0.15">
      <c r="A64">
        <v>60</v>
      </c>
      <c r="B64" t="s">
        <v>76</v>
      </c>
      <c r="C64" t="s">
        <v>77</v>
      </c>
      <c r="D64">
        <v>1495400</v>
      </c>
    </row>
    <row r="65" spans="1:4" x14ac:dyDescent="0.15">
      <c r="A65">
        <v>61</v>
      </c>
      <c r="B65" t="s">
        <v>78</v>
      </c>
      <c r="C65" t="s">
        <v>77</v>
      </c>
      <c r="D65">
        <v>1619600</v>
      </c>
    </row>
    <row r="66" spans="1:4" x14ac:dyDescent="0.15">
      <c r="A66">
        <v>62</v>
      </c>
      <c r="B66" t="s">
        <v>79</v>
      </c>
      <c r="C66" t="s">
        <v>77</v>
      </c>
      <c r="D66">
        <v>1743800</v>
      </c>
    </row>
    <row r="67" spans="1:4" x14ac:dyDescent="0.15">
      <c r="A67">
        <v>63</v>
      </c>
      <c r="B67" t="s">
        <v>80</v>
      </c>
      <c r="C67" t="s">
        <v>77</v>
      </c>
      <c r="D67">
        <v>1868000</v>
      </c>
    </row>
    <row r="68" spans="1:4" x14ac:dyDescent="0.15">
      <c r="A68">
        <v>64</v>
      </c>
      <c r="B68" t="s">
        <v>81</v>
      </c>
      <c r="C68" t="s">
        <v>77</v>
      </c>
      <c r="D68">
        <v>1992900</v>
      </c>
    </row>
    <row r="69" spans="1:4" x14ac:dyDescent="0.15">
      <c r="A69">
        <v>65</v>
      </c>
      <c r="B69" t="s">
        <v>82</v>
      </c>
      <c r="C69" t="s">
        <v>77</v>
      </c>
      <c r="D69">
        <v>2117800</v>
      </c>
    </row>
    <row r="70" spans="1:4" x14ac:dyDescent="0.15">
      <c r="A70">
        <v>66</v>
      </c>
      <c r="B70" t="s">
        <v>83</v>
      </c>
      <c r="C70" t="s">
        <v>77</v>
      </c>
      <c r="D70">
        <v>2242700</v>
      </c>
    </row>
    <row r="71" spans="1:4" x14ac:dyDescent="0.15">
      <c r="A71">
        <v>67</v>
      </c>
      <c r="B71" t="s">
        <v>84</v>
      </c>
      <c r="C71" t="s">
        <v>77</v>
      </c>
      <c r="D71">
        <v>2336925</v>
      </c>
    </row>
    <row r="72" spans="1:4" x14ac:dyDescent="0.15">
      <c r="A72">
        <v>68</v>
      </c>
      <c r="B72" t="s">
        <v>85</v>
      </c>
      <c r="C72" t="s">
        <v>77</v>
      </c>
      <c r="D72">
        <v>2431150</v>
      </c>
    </row>
    <row r="73" spans="1:4" x14ac:dyDescent="0.15">
      <c r="A73">
        <v>69</v>
      </c>
      <c r="B73" t="s">
        <v>86</v>
      </c>
      <c r="C73" t="s">
        <v>77</v>
      </c>
      <c r="D73">
        <v>2525375</v>
      </c>
    </row>
    <row r="74" spans="1:4" x14ac:dyDescent="0.15">
      <c r="A74">
        <v>70</v>
      </c>
      <c r="B74" t="s">
        <v>87</v>
      </c>
      <c r="C74" t="s">
        <v>88</v>
      </c>
      <c r="D74">
        <v>2619600</v>
      </c>
    </row>
    <row r="75" spans="1:4" x14ac:dyDescent="0.15">
      <c r="A75">
        <v>71</v>
      </c>
      <c r="B75" t="s">
        <v>89</v>
      </c>
      <c r="C75" t="s">
        <v>88</v>
      </c>
      <c r="D75">
        <v>2996500</v>
      </c>
    </row>
    <row r="76" spans="1:4" x14ac:dyDescent="0.15">
      <c r="A76">
        <v>72</v>
      </c>
      <c r="B76" t="s">
        <v>90</v>
      </c>
      <c r="C76" t="s">
        <v>88</v>
      </c>
      <c r="D76">
        <v>3373400</v>
      </c>
    </row>
    <row r="77" spans="1:4" x14ac:dyDescent="0.15">
      <c r="A77">
        <v>73</v>
      </c>
      <c r="B77" t="s">
        <v>91</v>
      </c>
      <c r="C77" t="s">
        <v>88</v>
      </c>
      <c r="D77">
        <v>3750300</v>
      </c>
    </row>
    <row r="78" spans="1:4" x14ac:dyDescent="0.15">
      <c r="A78">
        <v>74</v>
      </c>
      <c r="B78" t="s">
        <v>92</v>
      </c>
      <c r="C78" t="s">
        <v>88</v>
      </c>
      <c r="D78">
        <v>4128000</v>
      </c>
    </row>
    <row r="79" spans="1:4" x14ac:dyDescent="0.15">
      <c r="A79">
        <v>75</v>
      </c>
      <c r="B79" t="s">
        <v>93</v>
      </c>
      <c r="C79" t="s">
        <v>88</v>
      </c>
      <c r="D79">
        <v>4505700</v>
      </c>
    </row>
    <row r="80" spans="1:4" x14ac:dyDescent="0.15">
      <c r="A80">
        <v>76</v>
      </c>
      <c r="B80" t="s">
        <v>94</v>
      </c>
      <c r="C80" t="s">
        <v>88</v>
      </c>
      <c r="D80">
        <v>4883400</v>
      </c>
    </row>
    <row r="81" spans="1:4" x14ac:dyDescent="0.15">
      <c r="A81">
        <v>77</v>
      </c>
      <c r="B81" t="s">
        <v>95</v>
      </c>
      <c r="C81" t="s">
        <v>88</v>
      </c>
      <c r="D81">
        <v>5167300</v>
      </c>
    </row>
    <row r="82" spans="1:4" x14ac:dyDescent="0.15">
      <c r="A82">
        <v>78</v>
      </c>
      <c r="B82" t="s">
        <v>96</v>
      </c>
      <c r="C82" t="s">
        <v>88</v>
      </c>
      <c r="D82">
        <v>5451200</v>
      </c>
    </row>
    <row r="83" spans="1:4" x14ac:dyDescent="0.15">
      <c r="A83">
        <v>79</v>
      </c>
      <c r="B83" t="s">
        <v>97</v>
      </c>
      <c r="C83" t="s">
        <v>88</v>
      </c>
      <c r="D83">
        <v>5735100</v>
      </c>
    </row>
    <row r="84" spans="1:4" x14ac:dyDescent="0.15">
      <c r="A84">
        <v>80</v>
      </c>
      <c r="B84" t="s">
        <v>98</v>
      </c>
      <c r="C84" t="s">
        <v>99</v>
      </c>
      <c r="D84">
        <v>6019000</v>
      </c>
    </row>
    <row r="85" spans="1:4" x14ac:dyDescent="0.15">
      <c r="A85">
        <v>81</v>
      </c>
      <c r="B85" t="s">
        <v>100</v>
      </c>
      <c r="C85" t="s">
        <v>99</v>
      </c>
      <c r="D85">
        <v>6302900</v>
      </c>
    </row>
    <row r="86" spans="1:4" x14ac:dyDescent="0.15">
      <c r="A86">
        <v>82</v>
      </c>
      <c r="B86" t="s">
        <v>101</v>
      </c>
      <c r="C86" t="s">
        <v>99</v>
      </c>
      <c r="D86">
        <v>6586800</v>
      </c>
    </row>
    <row r="87" spans="1:4" x14ac:dyDescent="0.15">
      <c r="A87">
        <v>83</v>
      </c>
      <c r="B87" t="s">
        <v>102</v>
      </c>
      <c r="C87" t="s">
        <v>99</v>
      </c>
      <c r="D87">
        <v>6870700</v>
      </c>
    </row>
    <row r="88" spans="1:4" x14ac:dyDescent="0.15">
      <c r="A88">
        <v>84</v>
      </c>
      <c r="B88" t="s">
        <v>103</v>
      </c>
      <c r="C88" t="s">
        <v>99</v>
      </c>
      <c r="D88">
        <v>7154600</v>
      </c>
    </row>
    <row r="89" spans="1:4" x14ac:dyDescent="0.15">
      <c r="A89">
        <v>85</v>
      </c>
      <c r="B89" t="s">
        <v>104</v>
      </c>
      <c r="C89" t="s">
        <v>99</v>
      </c>
      <c r="D89">
        <v>7438500</v>
      </c>
    </row>
    <row r="90" spans="1:4" x14ac:dyDescent="0.15">
      <c r="A90">
        <v>86</v>
      </c>
      <c r="B90" t="s">
        <v>105</v>
      </c>
      <c r="C90" t="s">
        <v>99</v>
      </c>
      <c r="D90">
        <v>7722400</v>
      </c>
    </row>
    <row r="91" spans="1:4" x14ac:dyDescent="0.15">
      <c r="A91">
        <v>87</v>
      </c>
      <c r="B91" t="s">
        <v>106</v>
      </c>
      <c r="C91" t="s">
        <v>99</v>
      </c>
      <c r="D91">
        <v>8006300</v>
      </c>
    </row>
    <row r="92" spans="1:4" x14ac:dyDescent="0.15">
      <c r="A92">
        <v>88</v>
      </c>
      <c r="B92" t="s">
        <v>107</v>
      </c>
      <c r="C92" t="s">
        <v>99</v>
      </c>
      <c r="D92">
        <v>8290200</v>
      </c>
    </row>
    <row r="93" spans="1:4" x14ac:dyDescent="0.15">
      <c r="A93">
        <v>89</v>
      </c>
      <c r="B93" t="s">
        <v>108</v>
      </c>
      <c r="C93" t="s">
        <v>99</v>
      </c>
      <c r="D93">
        <v>8574100</v>
      </c>
    </row>
    <row r="94" spans="1:4" x14ac:dyDescent="0.15">
      <c r="A94">
        <v>90</v>
      </c>
      <c r="B94" t="s">
        <v>109</v>
      </c>
      <c r="C94" t="s">
        <v>99</v>
      </c>
      <c r="D94">
        <v>8858000</v>
      </c>
    </row>
  </sheetData>
  <phoneticPr fontId="1" type="noConversion"/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z_realms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36009</cp:lastModifiedBy>
  <dcterms:created xsi:type="dcterms:W3CDTF">2026-07-06T12:49:32Z</dcterms:created>
  <dcterms:modified xsi:type="dcterms:W3CDTF">2026-07-06T15:32:16Z</dcterms:modified>
</cp:coreProperties>
</file>