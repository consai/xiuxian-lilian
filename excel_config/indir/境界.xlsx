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excel_config\indir\"/>
    </mc:Choice>
  </mc:AlternateContent>
  <xr:revisionPtr revIDLastSave="0" documentId="11_7E2B722DBB1AD6A68DE33209326430DB5BB3806C" xr6:coauthVersionLast="47" xr6:coauthVersionMax="47" xr10:uidLastSave="{00000000-0000-0000-0000-000000000000}"/>
  <bookViews>
    <workbookView xWindow="150" yWindow="390" windowWidth="28650" windowHeight="14775" xr2:uid="{00000000-000D-0000-FFFF-FFFF00000000}"/>
  </bookViews>
  <sheets>
    <sheet name="z_real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K15" i="1"/>
  <c r="X15" i="1" s="1"/>
  <c r="G15" i="1"/>
  <c r="F15" i="1"/>
  <c r="M15" i="1" s="1"/>
  <c r="E15" i="1"/>
  <c r="E16" i="1" s="1"/>
  <c r="O14" i="1"/>
  <c r="N14" i="1"/>
  <c r="H14" i="1"/>
  <c r="G14" i="1"/>
  <c r="F14" i="1"/>
  <c r="M14" i="1" s="1"/>
  <c r="E14" i="1"/>
  <c r="L14" i="1" s="1"/>
  <c r="U13" i="1"/>
  <c r="R13" i="1"/>
  <c r="W13" i="1" s="1"/>
  <c r="Q13" i="1"/>
  <c r="P13" i="1"/>
  <c r="V13" i="1" s="1"/>
  <c r="O13" i="1"/>
  <c r="N13" i="1"/>
  <c r="M13" i="1"/>
  <c r="L13" i="1"/>
  <c r="K13" i="1"/>
  <c r="X13" i="1" s="1"/>
  <c r="J13" i="1"/>
  <c r="T13" i="1" s="1"/>
  <c r="X12" i="1"/>
  <c r="R12" i="1"/>
  <c r="W12" i="1" s="1"/>
  <c r="Q12" i="1"/>
  <c r="V12" i="1" s="1"/>
  <c r="P12" i="1"/>
  <c r="O12" i="1"/>
  <c r="T12" i="1" s="1"/>
  <c r="N12" i="1"/>
  <c r="M12" i="1"/>
  <c r="L12" i="1"/>
  <c r="U12" i="1" s="1"/>
  <c r="K12" i="1"/>
  <c r="J12" i="1"/>
  <c r="X11" i="1"/>
  <c r="R11" i="1"/>
  <c r="W11" i="1" s="1"/>
  <c r="Q11" i="1"/>
  <c r="P11" i="1"/>
  <c r="O11" i="1"/>
  <c r="N11" i="1"/>
  <c r="M11" i="1"/>
  <c r="L11" i="1"/>
  <c r="U11" i="1" s="1"/>
  <c r="K11" i="1"/>
  <c r="J11" i="1"/>
  <c r="T11" i="1" s="1"/>
  <c r="W10" i="1"/>
  <c r="V10" i="1"/>
  <c r="R10" i="1"/>
  <c r="Q10" i="1"/>
  <c r="P10" i="1"/>
  <c r="O10" i="1"/>
  <c r="T10" i="1" s="1"/>
  <c r="Y10" i="1" s="1"/>
  <c r="N10" i="1"/>
  <c r="M10" i="1"/>
  <c r="L10" i="1"/>
  <c r="U10" i="1" s="1"/>
  <c r="K10" i="1"/>
  <c r="X10" i="1" s="1"/>
  <c r="J10" i="1"/>
  <c r="W9" i="1"/>
  <c r="R9" i="1"/>
  <c r="Q9" i="1"/>
  <c r="P9" i="1"/>
  <c r="V9" i="1" s="1"/>
  <c r="O9" i="1"/>
  <c r="N9" i="1"/>
  <c r="M9" i="1"/>
  <c r="L9" i="1"/>
  <c r="U9" i="1" s="1"/>
  <c r="K9" i="1"/>
  <c r="X9" i="1" s="1"/>
  <c r="J9" i="1"/>
  <c r="T9" i="1" s="1"/>
  <c r="X8" i="1"/>
  <c r="R8" i="1"/>
  <c r="W8" i="1" s="1"/>
  <c r="Q8" i="1"/>
  <c r="V8" i="1" s="1"/>
  <c r="P8" i="1"/>
  <c r="O8" i="1"/>
  <c r="T8" i="1" s="1"/>
  <c r="Y8" i="1" s="1"/>
  <c r="N8" i="1"/>
  <c r="M8" i="1"/>
  <c r="L8" i="1"/>
  <c r="U8" i="1" s="1"/>
  <c r="K8" i="1"/>
  <c r="J8" i="1"/>
  <c r="X7" i="1"/>
  <c r="W7" i="1"/>
  <c r="R7" i="1"/>
  <c r="Q7" i="1"/>
  <c r="P7" i="1"/>
  <c r="O7" i="1"/>
  <c r="N7" i="1"/>
  <c r="M7" i="1"/>
  <c r="L7" i="1"/>
  <c r="U7" i="1" s="1"/>
  <c r="K7" i="1"/>
  <c r="J7" i="1"/>
  <c r="T7" i="1" s="1"/>
  <c r="X6" i="1"/>
  <c r="W6" i="1"/>
  <c r="R6" i="1"/>
  <c r="Q6" i="1"/>
  <c r="V6" i="1" s="1"/>
  <c r="P6" i="1"/>
  <c r="O6" i="1"/>
  <c r="N6" i="1"/>
  <c r="M6" i="1"/>
  <c r="L6" i="1"/>
  <c r="K6" i="1"/>
  <c r="J6" i="1"/>
  <c r="T6" i="1" s="1"/>
  <c r="U5" i="1"/>
  <c r="R5" i="1"/>
  <c r="W5" i="1" s="1"/>
  <c r="Q5" i="1"/>
  <c r="P5" i="1"/>
  <c r="V5" i="1" s="1"/>
  <c r="O5" i="1"/>
  <c r="N5" i="1"/>
  <c r="M5" i="1"/>
  <c r="L5" i="1"/>
  <c r="K5" i="1"/>
  <c r="X5" i="1" s="1"/>
  <c r="J5" i="1"/>
  <c r="T5" i="1" s="1"/>
  <c r="Y5" i="1" s="1"/>
  <c r="Y12" i="1" l="1"/>
  <c r="Y9" i="1"/>
  <c r="Y13" i="1"/>
  <c r="N16" i="1"/>
  <c r="J16" i="1"/>
  <c r="R16" i="1"/>
  <c r="W16" i="1" s="1"/>
  <c r="V7" i="1"/>
  <c r="Y7" i="1" s="1"/>
  <c r="R15" i="1"/>
  <c r="W15" i="1" s="1"/>
  <c r="K14" i="1"/>
  <c r="X14" i="1" s="1"/>
  <c r="Q14" i="1"/>
  <c r="Q15" i="1"/>
  <c r="N15" i="1"/>
  <c r="G17" i="1"/>
  <c r="H15" i="1"/>
  <c r="P14" i="1"/>
  <c r="U14" i="1" s="1"/>
  <c r="J14" i="1"/>
  <c r="T14" i="1" s="1"/>
  <c r="L15" i="1"/>
  <c r="E17" i="1"/>
  <c r="U6" i="1"/>
  <c r="Y6" i="1" s="1"/>
  <c r="V11" i="1"/>
  <c r="Y11" i="1" s="1"/>
  <c r="R14" i="1"/>
  <c r="W14" i="1" s="1"/>
  <c r="J15" i="1"/>
  <c r="O15" i="1"/>
  <c r="F16" i="1"/>
  <c r="L16" i="1"/>
  <c r="F17" i="1" l="1"/>
  <c r="O16" i="1"/>
  <c r="M16" i="1"/>
  <c r="K16" i="1"/>
  <c r="X16" i="1" s="1"/>
  <c r="T16" i="1"/>
  <c r="V14" i="1"/>
  <c r="Y14" i="1" s="1"/>
  <c r="V15" i="1"/>
  <c r="Q16" i="1"/>
  <c r="T15" i="1"/>
  <c r="E18" i="1"/>
  <c r="N17" i="1"/>
  <c r="L17" i="1"/>
  <c r="J17" i="1"/>
  <c r="P15" i="1"/>
  <c r="U15" i="1" s="1"/>
  <c r="H16" i="1"/>
  <c r="G18" i="1"/>
  <c r="Q17" i="1"/>
  <c r="R17" i="1"/>
  <c r="W17" i="1" s="1"/>
  <c r="G19" i="1" l="1"/>
  <c r="R18" i="1"/>
  <c r="W18" i="1" s="1"/>
  <c r="L18" i="1"/>
  <c r="N18" i="1"/>
  <c r="J18" i="1"/>
  <c r="E19" i="1"/>
  <c r="H17" i="1"/>
  <c r="P16" i="1"/>
  <c r="U16" i="1" s="1"/>
  <c r="Y16" i="1" s="1"/>
  <c r="T17" i="1"/>
  <c r="Y15" i="1"/>
  <c r="V16" i="1"/>
  <c r="F18" i="1"/>
  <c r="O17" i="1"/>
  <c r="K17" i="1"/>
  <c r="X17" i="1" s="1"/>
  <c r="M17" i="1"/>
  <c r="O18" i="1" l="1"/>
  <c r="K18" i="1"/>
  <c r="X18" i="1" s="1"/>
  <c r="M18" i="1"/>
  <c r="F19" i="1"/>
  <c r="L19" i="1"/>
  <c r="E20" i="1"/>
  <c r="J19" i="1"/>
  <c r="N19" i="1"/>
  <c r="Q19" i="1"/>
  <c r="G20" i="1"/>
  <c r="R19" i="1"/>
  <c r="W19" i="1" s="1"/>
  <c r="Q18" i="1"/>
  <c r="T18" i="1"/>
  <c r="P17" i="1"/>
  <c r="V17" i="1" s="1"/>
  <c r="H18" i="1"/>
  <c r="R20" i="1" l="1"/>
  <c r="W20" i="1" s="1"/>
  <c r="G21" i="1"/>
  <c r="N20" i="1"/>
  <c r="J20" i="1"/>
  <c r="E21" i="1"/>
  <c r="L20" i="1"/>
  <c r="V18" i="1"/>
  <c r="M19" i="1"/>
  <c r="K19" i="1"/>
  <c r="X19" i="1" s="1"/>
  <c r="O19" i="1"/>
  <c r="F20" i="1"/>
  <c r="Q20" i="1" s="1"/>
  <c r="H19" i="1"/>
  <c r="P18" i="1"/>
  <c r="U18" i="1" s="1"/>
  <c r="Y18" i="1" s="1"/>
  <c r="T19" i="1"/>
  <c r="U17" i="1"/>
  <c r="Y17" i="1" s="1"/>
  <c r="T20" i="1" l="1"/>
  <c r="H20" i="1"/>
  <c r="P19" i="1"/>
  <c r="V19" i="1" s="1"/>
  <c r="N21" i="1"/>
  <c r="J21" i="1"/>
  <c r="E22" i="1"/>
  <c r="L21" i="1"/>
  <c r="F21" i="1"/>
  <c r="M20" i="1"/>
  <c r="O20" i="1"/>
  <c r="K20" i="1"/>
  <c r="X20" i="1" s="1"/>
  <c r="R21" i="1"/>
  <c r="W21" i="1" s="1"/>
  <c r="G22" i="1"/>
  <c r="F22" i="1" l="1"/>
  <c r="O21" i="1"/>
  <c r="K21" i="1"/>
  <c r="X21" i="1" s="1"/>
  <c r="M21" i="1"/>
  <c r="Q21" i="1"/>
  <c r="T21" i="1"/>
  <c r="U19" i="1"/>
  <c r="Y19" i="1" s="1"/>
  <c r="G23" i="1"/>
  <c r="R22" i="1"/>
  <c r="W22" i="1" s="1"/>
  <c r="L22" i="1"/>
  <c r="J22" i="1"/>
  <c r="E23" i="1"/>
  <c r="N22" i="1"/>
  <c r="P20" i="1"/>
  <c r="V20" i="1" s="1"/>
  <c r="H21" i="1"/>
  <c r="E24" i="1" l="1"/>
  <c r="L23" i="1"/>
  <c r="N23" i="1"/>
  <c r="J23" i="1"/>
  <c r="H22" i="1"/>
  <c r="P21" i="1"/>
  <c r="U21" i="1" s="1"/>
  <c r="T22" i="1"/>
  <c r="R23" i="1"/>
  <c r="W23" i="1" s="1"/>
  <c r="G24" i="1"/>
  <c r="Y21" i="1"/>
  <c r="V21" i="1"/>
  <c r="O22" i="1"/>
  <c r="K22" i="1"/>
  <c r="X22" i="1" s="1"/>
  <c r="F23" i="1"/>
  <c r="Q23" i="1" s="1"/>
  <c r="M22" i="1"/>
  <c r="Q22" i="1"/>
  <c r="U20" i="1"/>
  <c r="Y20" i="1" s="1"/>
  <c r="V22" i="1" l="1"/>
  <c r="R24" i="1"/>
  <c r="W24" i="1" s="1"/>
  <c r="G25" i="1"/>
  <c r="M23" i="1"/>
  <c r="O23" i="1"/>
  <c r="T23" i="1" s="1"/>
  <c r="K23" i="1"/>
  <c r="X23" i="1" s="1"/>
  <c r="F24" i="1"/>
  <c r="H23" i="1"/>
  <c r="P22" i="1"/>
  <c r="U22" i="1" s="1"/>
  <c r="Y22" i="1" s="1"/>
  <c r="E25" i="1"/>
  <c r="N24" i="1"/>
  <c r="J24" i="1"/>
  <c r="L24" i="1"/>
  <c r="M24" i="1" l="1"/>
  <c r="F25" i="1"/>
  <c r="O24" i="1"/>
  <c r="T24" i="1" s="1"/>
  <c r="K24" i="1"/>
  <c r="X24" i="1" s="1"/>
  <c r="R25" i="1"/>
  <c r="W25" i="1" s="1"/>
  <c r="G26" i="1"/>
  <c r="N25" i="1"/>
  <c r="J25" i="1"/>
  <c r="E26" i="1"/>
  <c r="L25" i="1"/>
  <c r="H24" i="1"/>
  <c r="P23" i="1"/>
  <c r="Q24" i="1"/>
  <c r="V23" i="1" l="1"/>
  <c r="U23" i="1"/>
  <c r="Y23" i="1" s="1"/>
  <c r="T25" i="1"/>
  <c r="G27" i="1"/>
  <c r="R26" i="1"/>
  <c r="W26" i="1" s="1"/>
  <c r="Q26" i="1"/>
  <c r="H25" i="1"/>
  <c r="P24" i="1"/>
  <c r="U24" i="1" s="1"/>
  <c r="Y24" i="1" s="1"/>
  <c r="F26" i="1"/>
  <c r="O25" i="1"/>
  <c r="K25" i="1"/>
  <c r="X25" i="1" s="1"/>
  <c r="M25" i="1"/>
  <c r="V24" i="1"/>
  <c r="L26" i="1"/>
  <c r="N26" i="1"/>
  <c r="J26" i="1"/>
  <c r="E27" i="1"/>
  <c r="Q25" i="1"/>
  <c r="H26" i="1" l="1"/>
  <c r="P25" i="1"/>
  <c r="U25" i="1" s="1"/>
  <c r="N27" i="1"/>
  <c r="J27" i="1"/>
  <c r="L27" i="1"/>
  <c r="E28" i="1"/>
  <c r="O26" i="1"/>
  <c r="T26" i="1" s="1"/>
  <c r="K26" i="1"/>
  <c r="X26" i="1" s="1"/>
  <c r="F27" i="1"/>
  <c r="M26" i="1"/>
  <c r="G28" i="1"/>
  <c r="R27" i="1"/>
  <c r="W27" i="1" s="1"/>
  <c r="Q27" i="1"/>
  <c r="U26" i="1" l="1"/>
  <c r="Y26" i="1" s="1"/>
  <c r="G29" i="1"/>
  <c r="R28" i="1"/>
  <c r="W28" i="1" s="1"/>
  <c r="Q28" i="1"/>
  <c r="L28" i="1"/>
  <c r="J28" i="1"/>
  <c r="E29" i="1"/>
  <c r="N28" i="1"/>
  <c r="O27" i="1"/>
  <c r="T27" i="1" s="1"/>
  <c r="F28" i="1"/>
  <c r="M27" i="1"/>
  <c r="K27" i="1"/>
  <c r="X27" i="1" s="1"/>
  <c r="H27" i="1"/>
  <c r="P26" i="1"/>
  <c r="V26" i="1" s="1"/>
  <c r="V25" i="1"/>
  <c r="Y25" i="1" s="1"/>
  <c r="R29" i="1" l="1"/>
  <c r="W29" i="1" s="1"/>
  <c r="G30" i="1"/>
  <c r="P27" i="1"/>
  <c r="H28" i="1"/>
  <c r="O28" i="1"/>
  <c r="T28" i="1" s="1"/>
  <c r="K28" i="1"/>
  <c r="X28" i="1" s="1"/>
  <c r="F29" i="1"/>
  <c r="M28" i="1"/>
  <c r="E30" i="1"/>
  <c r="L29" i="1"/>
  <c r="J29" i="1"/>
  <c r="N29" i="1"/>
  <c r="N30" i="1" l="1"/>
  <c r="J30" i="1"/>
  <c r="E31" i="1"/>
  <c r="L30" i="1"/>
  <c r="H29" i="1"/>
  <c r="P28" i="1"/>
  <c r="R30" i="1"/>
  <c r="W30" i="1" s="1"/>
  <c r="G31" i="1"/>
  <c r="M29" i="1"/>
  <c r="O29" i="1"/>
  <c r="T29" i="1" s="1"/>
  <c r="F30" i="1"/>
  <c r="K29" i="1"/>
  <c r="X29" i="1" s="1"/>
  <c r="V27" i="1"/>
  <c r="U27" i="1"/>
  <c r="Y27" i="1" s="1"/>
  <c r="Q29" i="1"/>
  <c r="F31" i="1" l="1"/>
  <c r="M30" i="1"/>
  <c r="O30" i="1"/>
  <c r="K30" i="1"/>
  <c r="X30" i="1" s="1"/>
  <c r="G32" i="1"/>
  <c r="R31" i="1"/>
  <c r="W31" i="1" s="1"/>
  <c r="H30" i="1"/>
  <c r="P29" i="1"/>
  <c r="U29" i="1" s="1"/>
  <c r="Q30" i="1"/>
  <c r="N31" i="1"/>
  <c r="J31" i="1"/>
  <c r="E32" i="1"/>
  <c r="L31" i="1"/>
  <c r="V28" i="1"/>
  <c r="U28" i="1"/>
  <c r="T30" i="1"/>
  <c r="G33" i="1" l="1"/>
  <c r="R32" i="1"/>
  <c r="W32" i="1" s="1"/>
  <c r="O31" i="1"/>
  <c r="T31" i="1" s="1"/>
  <c r="K31" i="1"/>
  <c r="X31" i="1" s="1"/>
  <c r="F32" i="1"/>
  <c r="M31" i="1"/>
  <c r="V29" i="1"/>
  <c r="Y29" i="1" s="1"/>
  <c r="H31" i="1"/>
  <c r="P30" i="1"/>
  <c r="U30" i="1" s="1"/>
  <c r="Q31" i="1"/>
  <c r="Y28" i="1"/>
  <c r="L32" i="1"/>
  <c r="E33" i="1"/>
  <c r="N32" i="1"/>
  <c r="J32" i="1"/>
  <c r="V30" i="1"/>
  <c r="Y30" i="1" s="1"/>
  <c r="E34" i="1" l="1"/>
  <c r="L33" i="1"/>
  <c r="N33" i="1"/>
  <c r="J33" i="1"/>
  <c r="O32" i="1"/>
  <c r="T32" i="1" s="1"/>
  <c r="K32" i="1"/>
  <c r="X32" i="1" s="1"/>
  <c r="M32" i="1"/>
  <c r="F33" i="1"/>
  <c r="Q32" i="1"/>
  <c r="H32" i="1"/>
  <c r="P31" i="1"/>
  <c r="U31" i="1" s="1"/>
  <c r="Q33" i="1"/>
  <c r="G34" i="1"/>
  <c r="R33" i="1"/>
  <c r="W33" i="1" s="1"/>
  <c r="N34" i="1" l="1"/>
  <c r="J34" i="1"/>
  <c r="E35" i="1"/>
  <c r="L34" i="1"/>
  <c r="M33" i="1"/>
  <c r="K33" i="1"/>
  <c r="X33" i="1" s="1"/>
  <c r="F34" i="1"/>
  <c r="O33" i="1"/>
  <c r="H33" i="1"/>
  <c r="P32" i="1"/>
  <c r="V32" i="1" s="1"/>
  <c r="R34" i="1"/>
  <c r="W34" i="1" s="1"/>
  <c r="G35" i="1"/>
  <c r="V31" i="1"/>
  <c r="Y31" i="1" s="1"/>
  <c r="T33" i="1"/>
  <c r="F35" i="1" l="1"/>
  <c r="M34" i="1"/>
  <c r="K34" i="1"/>
  <c r="X34" i="1" s="1"/>
  <c r="O34" i="1"/>
  <c r="H34" i="1"/>
  <c r="P33" i="1"/>
  <c r="Q34" i="1"/>
  <c r="T34" i="1"/>
  <c r="U32" i="1"/>
  <c r="Y32" i="1" s="1"/>
  <c r="G36" i="1"/>
  <c r="R35" i="1"/>
  <c r="W35" i="1" s="1"/>
  <c r="Q35" i="1"/>
  <c r="N35" i="1"/>
  <c r="J35" i="1"/>
  <c r="E36" i="1"/>
  <c r="L35" i="1"/>
  <c r="T35" i="1" l="1"/>
  <c r="U33" i="1"/>
  <c r="Y33" i="1" s="1"/>
  <c r="V33" i="1"/>
  <c r="L36" i="1"/>
  <c r="J36" i="1"/>
  <c r="E37" i="1"/>
  <c r="N36" i="1"/>
  <c r="G37" i="1"/>
  <c r="R36" i="1"/>
  <c r="W36" i="1" s="1"/>
  <c r="Q36" i="1"/>
  <c r="P34" i="1"/>
  <c r="U34" i="1" s="1"/>
  <c r="H35" i="1"/>
  <c r="O35" i="1"/>
  <c r="K35" i="1"/>
  <c r="X35" i="1" s="1"/>
  <c r="F36" i="1"/>
  <c r="M35" i="1"/>
  <c r="U35" i="1" l="1"/>
  <c r="Y35" i="1" s="1"/>
  <c r="Y34" i="1"/>
  <c r="O36" i="1"/>
  <c r="K36" i="1"/>
  <c r="X36" i="1" s="1"/>
  <c r="M36" i="1"/>
  <c r="F37" i="1"/>
  <c r="P35" i="1"/>
  <c r="V35" i="1" s="1"/>
  <c r="H36" i="1"/>
  <c r="L37" i="1"/>
  <c r="J37" i="1"/>
  <c r="E38" i="1"/>
  <c r="N37" i="1"/>
  <c r="T36" i="1"/>
  <c r="V34" i="1"/>
  <c r="G38" i="1"/>
  <c r="Q37" i="1"/>
  <c r="R37" i="1"/>
  <c r="W37" i="1" s="1"/>
  <c r="F38" i="1" l="1"/>
  <c r="O37" i="1"/>
  <c r="M37" i="1"/>
  <c r="K37" i="1"/>
  <c r="X37" i="1" s="1"/>
  <c r="Q38" i="1"/>
  <c r="R38" i="1"/>
  <c r="W38" i="1" s="1"/>
  <c r="G39" i="1"/>
  <c r="E39" i="1"/>
  <c r="L38" i="1"/>
  <c r="N38" i="1"/>
  <c r="J38" i="1"/>
  <c r="H37" i="1"/>
  <c r="P36" i="1"/>
  <c r="T37" i="1"/>
  <c r="M38" i="1" l="1"/>
  <c r="K38" i="1"/>
  <c r="X38" i="1" s="1"/>
  <c r="F39" i="1"/>
  <c r="O38" i="1"/>
  <c r="T38" i="1" s="1"/>
  <c r="H38" i="1"/>
  <c r="P37" i="1"/>
  <c r="V37" i="1" s="1"/>
  <c r="N39" i="1"/>
  <c r="J39" i="1"/>
  <c r="E40" i="1"/>
  <c r="L39" i="1"/>
  <c r="R39" i="1"/>
  <c r="W39" i="1" s="1"/>
  <c r="Q39" i="1"/>
  <c r="G40" i="1"/>
  <c r="V36" i="1"/>
  <c r="U36" i="1"/>
  <c r="Y36" i="1" s="1"/>
  <c r="L40" i="1" l="1"/>
  <c r="J40" i="1"/>
  <c r="N40" i="1"/>
  <c r="E41" i="1"/>
  <c r="G41" i="1"/>
  <c r="R40" i="1"/>
  <c r="W40" i="1" s="1"/>
  <c r="H39" i="1"/>
  <c r="P38" i="1"/>
  <c r="V38" i="1" s="1"/>
  <c r="F40" i="1"/>
  <c r="O39" i="1"/>
  <c r="T39" i="1" s="1"/>
  <c r="M39" i="1"/>
  <c r="K39" i="1"/>
  <c r="X39" i="1" s="1"/>
  <c r="U37" i="1"/>
  <c r="Y37" i="1" s="1"/>
  <c r="H40" i="1" l="1"/>
  <c r="P39" i="1"/>
  <c r="R41" i="1"/>
  <c r="W41" i="1" s="1"/>
  <c r="G42" i="1"/>
  <c r="O40" i="1"/>
  <c r="T40" i="1" s="1"/>
  <c r="K40" i="1"/>
  <c r="X40" i="1" s="1"/>
  <c r="F41" i="1"/>
  <c r="M40" i="1"/>
  <c r="U38" i="1"/>
  <c r="Y38" i="1" s="1"/>
  <c r="L41" i="1"/>
  <c r="E42" i="1"/>
  <c r="N41" i="1"/>
  <c r="J41" i="1"/>
  <c r="Q40" i="1"/>
  <c r="U40" i="1" l="1"/>
  <c r="Y40" i="1"/>
  <c r="T41" i="1"/>
  <c r="V39" i="1"/>
  <c r="U39" i="1"/>
  <c r="Y39" i="1" s="1"/>
  <c r="E43" i="1"/>
  <c r="J42" i="1"/>
  <c r="N42" i="1"/>
  <c r="L42" i="1"/>
  <c r="M41" i="1"/>
  <c r="K41" i="1"/>
  <c r="X41" i="1" s="1"/>
  <c r="F42" i="1"/>
  <c r="O41" i="1"/>
  <c r="Q41" i="1"/>
  <c r="H41" i="1"/>
  <c r="P40" i="1"/>
  <c r="V40" i="1"/>
  <c r="Q42" i="1"/>
  <c r="G43" i="1"/>
  <c r="R42" i="1"/>
  <c r="W42" i="1" s="1"/>
  <c r="H42" i="1" l="1"/>
  <c r="P41" i="1"/>
  <c r="U41" i="1" s="1"/>
  <c r="N43" i="1"/>
  <c r="J43" i="1"/>
  <c r="L43" i="1"/>
  <c r="E44" i="1"/>
  <c r="R43" i="1"/>
  <c r="W43" i="1" s="1"/>
  <c r="G44" i="1"/>
  <c r="M42" i="1"/>
  <c r="K42" i="1"/>
  <c r="X42" i="1" s="1"/>
  <c r="F43" i="1"/>
  <c r="O42" i="1"/>
  <c r="T42" i="1" s="1"/>
  <c r="G45" i="1" l="1"/>
  <c r="R44" i="1"/>
  <c r="W44" i="1" s="1"/>
  <c r="J44" i="1"/>
  <c r="E45" i="1"/>
  <c r="N44" i="1"/>
  <c r="L44" i="1"/>
  <c r="V41" i="1"/>
  <c r="Y41" i="1" s="1"/>
  <c r="P42" i="1"/>
  <c r="V42" i="1" s="1"/>
  <c r="H43" i="1"/>
  <c r="F44" i="1"/>
  <c r="M43" i="1"/>
  <c r="O43" i="1"/>
  <c r="T43" i="1" s="1"/>
  <c r="K43" i="1"/>
  <c r="X43" i="1" s="1"/>
  <c r="Q43" i="1"/>
  <c r="O44" i="1" l="1"/>
  <c r="T44" i="1" s="1"/>
  <c r="K44" i="1"/>
  <c r="X44" i="1" s="1"/>
  <c r="F45" i="1"/>
  <c r="M44" i="1"/>
  <c r="L45" i="1"/>
  <c r="J45" i="1"/>
  <c r="E46" i="1"/>
  <c r="N45" i="1"/>
  <c r="R45" i="1"/>
  <c r="W45" i="1" s="1"/>
  <c r="G46" i="1"/>
  <c r="Q45" i="1"/>
  <c r="Q44" i="1"/>
  <c r="U42" i="1"/>
  <c r="Y42" i="1" s="1"/>
  <c r="H44" i="1"/>
  <c r="P43" i="1"/>
  <c r="U43" i="1" s="1"/>
  <c r="V44" i="1" l="1"/>
  <c r="Y44" i="1" s="1"/>
  <c r="E47" i="1"/>
  <c r="J46" i="1"/>
  <c r="N46" i="1"/>
  <c r="L46" i="1"/>
  <c r="M45" i="1"/>
  <c r="K45" i="1"/>
  <c r="X45" i="1" s="1"/>
  <c r="O45" i="1"/>
  <c r="F46" i="1"/>
  <c r="G47" i="1"/>
  <c r="R46" i="1"/>
  <c r="W46" i="1" s="1"/>
  <c r="T45" i="1"/>
  <c r="P44" i="1"/>
  <c r="U44" i="1" s="1"/>
  <c r="H45" i="1"/>
  <c r="V43" i="1"/>
  <c r="Y43" i="1" s="1"/>
  <c r="M46" i="1" l="1"/>
  <c r="F47" i="1"/>
  <c r="O46" i="1"/>
  <c r="K46" i="1"/>
  <c r="X46" i="1" s="1"/>
  <c r="H46" i="1"/>
  <c r="P45" i="1"/>
  <c r="R47" i="1"/>
  <c r="W47" i="1" s="1"/>
  <c r="G48" i="1"/>
  <c r="T46" i="1"/>
  <c r="Q46" i="1"/>
  <c r="N47" i="1"/>
  <c r="J47" i="1"/>
  <c r="L47" i="1"/>
  <c r="E48" i="1"/>
  <c r="G49" i="1" l="1"/>
  <c r="R48" i="1"/>
  <c r="W48" i="1" s="1"/>
  <c r="P46" i="1"/>
  <c r="U46" i="1" s="1"/>
  <c r="Y46" i="1" s="1"/>
  <c r="H47" i="1"/>
  <c r="F48" i="1"/>
  <c r="K47" i="1"/>
  <c r="X47" i="1" s="1"/>
  <c r="O47" i="1"/>
  <c r="T47" i="1" s="1"/>
  <c r="M47" i="1"/>
  <c r="Q47" i="1"/>
  <c r="V45" i="1"/>
  <c r="U45" i="1"/>
  <c r="E49" i="1"/>
  <c r="N48" i="1"/>
  <c r="J48" i="1"/>
  <c r="L48" i="1"/>
  <c r="V46" i="1"/>
  <c r="L49" i="1" l="1"/>
  <c r="J49" i="1"/>
  <c r="N49" i="1"/>
  <c r="E50" i="1"/>
  <c r="O48" i="1"/>
  <c r="K48" i="1"/>
  <c r="X48" i="1" s="1"/>
  <c r="M48" i="1"/>
  <c r="F49" i="1"/>
  <c r="Y45" i="1"/>
  <c r="H48" i="1"/>
  <c r="P47" i="1"/>
  <c r="U47" i="1" s="1"/>
  <c r="Y47" i="1" s="1"/>
  <c r="G50" i="1"/>
  <c r="Q49" i="1"/>
  <c r="R49" i="1"/>
  <c r="W49" i="1" s="1"/>
  <c r="V47" i="1"/>
  <c r="T48" i="1"/>
  <c r="Q48" i="1"/>
  <c r="R50" i="1" l="1"/>
  <c r="W50" i="1" s="1"/>
  <c r="G51" i="1"/>
  <c r="K49" i="1"/>
  <c r="X49" i="1" s="1"/>
  <c r="F50" i="1"/>
  <c r="O49" i="1"/>
  <c r="T49" i="1" s="1"/>
  <c r="M49" i="1"/>
  <c r="E51" i="1"/>
  <c r="N50" i="1"/>
  <c r="L50" i="1"/>
  <c r="J50" i="1"/>
  <c r="H49" i="1"/>
  <c r="P48" i="1"/>
  <c r="U48" i="1" s="1"/>
  <c r="R51" i="1" l="1"/>
  <c r="W51" i="1" s="1"/>
  <c r="G52" i="1"/>
  <c r="Q51" i="1"/>
  <c r="M50" i="1"/>
  <c r="K50" i="1"/>
  <c r="X50" i="1" s="1"/>
  <c r="F51" i="1"/>
  <c r="O50" i="1"/>
  <c r="H50" i="1"/>
  <c r="P49" i="1"/>
  <c r="V49" i="1" s="1"/>
  <c r="N51" i="1"/>
  <c r="J51" i="1"/>
  <c r="E52" i="1"/>
  <c r="L51" i="1"/>
  <c r="Q50" i="1"/>
  <c r="V48" i="1"/>
  <c r="Y48" i="1" s="1"/>
  <c r="T50" i="1"/>
  <c r="L52" i="1" l="1"/>
  <c r="N52" i="1"/>
  <c r="J52" i="1"/>
  <c r="E53" i="1"/>
  <c r="V50" i="1"/>
  <c r="F52" i="1"/>
  <c r="K51" i="1"/>
  <c r="X51" i="1" s="1"/>
  <c r="O51" i="1"/>
  <c r="T51" i="1" s="1"/>
  <c r="M51" i="1"/>
  <c r="G53" i="1"/>
  <c r="R52" i="1"/>
  <c r="W52" i="1" s="1"/>
  <c r="Q52" i="1"/>
  <c r="U49" i="1"/>
  <c r="Y49" i="1" s="1"/>
  <c r="H51" i="1"/>
  <c r="P50" i="1"/>
  <c r="U50" i="1" s="1"/>
  <c r="Y50" i="1" s="1"/>
  <c r="P51" i="1" l="1"/>
  <c r="H52" i="1"/>
  <c r="R53" i="1"/>
  <c r="W53" i="1" s="1"/>
  <c r="G54" i="1"/>
  <c r="O52" i="1"/>
  <c r="T52" i="1" s="1"/>
  <c r="K52" i="1"/>
  <c r="X52" i="1" s="1"/>
  <c r="M52" i="1"/>
  <c r="F53" i="1"/>
  <c r="L53" i="1"/>
  <c r="J53" i="1"/>
  <c r="E54" i="1"/>
  <c r="N53" i="1"/>
  <c r="T53" i="1" l="1"/>
  <c r="F54" i="1"/>
  <c r="O53" i="1"/>
  <c r="K53" i="1"/>
  <c r="X53" i="1" s="1"/>
  <c r="M53" i="1"/>
  <c r="Q54" i="1"/>
  <c r="R54" i="1"/>
  <c r="W54" i="1" s="1"/>
  <c r="G55" i="1"/>
  <c r="H53" i="1"/>
  <c r="P52" i="1"/>
  <c r="E55" i="1"/>
  <c r="L54" i="1"/>
  <c r="J54" i="1"/>
  <c r="N54" i="1"/>
  <c r="Q53" i="1"/>
  <c r="V51" i="1"/>
  <c r="U51" i="1"/>
  <c r="Y51" i="1" s="1"/>
  <c r="H54" i="1" l="1"/>
  <c r="P53" i="1"/>
  <c r="U53" i="1" s="1"/>
  <c r="R55" i="1"/>
  <c r="W55" i="1" s="1"/>
  <c r="G56" i="1"/>
  <c r="Q55" i="1"/>
  <c r="N55" i="1"/>
  <c r="J55" i="1"/>
  <c r="E56" i="1"/>
  <c r="L55" i="1"/>
  <c r="U52" i="1"/>
  <c r="V52" i="1"/>
  <c r="M54" i="1"/>
  <c r="K54" i="1"/>
  <c r="X54" i="1" s="1"/>
  <c r="O54" i="1"/>
  <c r="T54" i="1" s="1"/>
  <c r="F55" i="1"/>
  <c r="Y53" i="1" l="1"/>
  <c r="T55" i="1"/>
  <c r="Y52" i="1"/>
  <c r="G57" i="1"/>
  <c r="Q56" i="1"/>
  <c r="R56" i="1"/>
  <c r="W56" i="1" s="1"/>
  <c r="V53" i="1"/>
  <c r="H55" i="1"/>
  <c r="P54" i="1"/>
  <c r="V54" i="1" s="1"/>
  <c r="F56" i="1"/>
  <c r="O55" i="1"/>
  <c r="M55" i="1"/>
  <c r="K55" i="1"/>
  <c r="X55" i="1" s="1"/>
  <c r="L56" i="1"/>
  <c r="J56" i="1"/>
  <c r="E57" i="1"/>
  <c r="N56" i="1"/>
  <c r="L57" i="1" l="1"/>
  <c r="E58" i="1"/>
  <c r="N57" i="1"/>
  <c r="J57" i="1"/>
  <c r="R57" i="1"/>
  <c r="W57" i="1" s="1"/>
  <c r="G58" i="1"/>
  <c r="Q57" i="1"/>
  <c r="P55" i="1"/>
  <c r="V55" i="1" s="1"/>
  <c r="H56" i="1"/>
  <c r="O56" i="1"/>
  <c r="T56" i="1" s="1"/>
  <c r="K56" i="1"/>
  <c r="X56" i="1" s="1"/>
  <c r="F57" i="1"/>
  <c r="M56" i="1"/>
  <c r="U54" i="1"/>
  <c r="Y54" i="1" s="1"/>
  <c r="E59" i="1" l="1"/>
  <c r="J58" i="1"/>
  <c r="L58" i="1"/>
  <c r="N58" i="1"/>
  <c r="M57" i="1"/>
  <c r="F58" i="1"/>
  <c r="O57" i="1"/>
  <c r="T57" i="1" s="1"/>
  <c r="K57" i="1"/>
  <c r="X57" i="1" s="1"/>
  <c r="H57" i="1"/>
  <c r="P56" i="1"/>
  <c r="V56" i="1" s="1"/>
  <c r="Q58" i="1"/>
  <c r="G59" i="1"/>
  <c r="R58" i="1"/>
  <c r="W58" i="1" s="1"/>
  <c r="U55" i="1"/>
  <c r="Y55" i="1" s="1"/>
  <c r="U56" i="1" l="1"/>
  <c r="Y56" i="1" s="1"/>
  <c r="R59" i="1"/>
  <c r="W59" i="1" s="1"/>
  <c r="G60" i="1"/>
  <c r="N59" i="1"/>
  <c r="J59" i="1"/>
  <c r="L59" i="1"/>
  <c r="E60" i="1"/>
  <c r="M58" i="1"/>
  <c r="K58" i="1"/>
  <c r="X58" i="1" s="1"/>
  <c r="F59" i="1"/>
  <c r="O58" i="1"/>
  <c r="T58" i="1" s="1"/>
  <c r="H58" i="1"/>
  <c r="P57" i="1"/>
  <c r="P58" i="1" l="1"/>
  <c r="V58" i="1" s="1"/>
  <c r="H59" i="1"/>
  <c r="N60" i="1"/>
  <c r="J60" i="1"/>
  <c r="L60" i="1"/>
  <c r="E61" i="1"/>
  <c r="F60" i="1"/>
  <c r="M59" i="1"/>
  <c r="K59" i="1"/>
  <c r="X59" i="1" s="1"/>
  <c r="O59" i="1"/>
  <c r="R60" i="1"/>
  <c r="W60" i="1" s="1"/>
  <c r="G61" i="1"/>
  <c r="Q60" i="1"/>
  <c r="V57" i="1"/>
  <c r="U57" i="1"/>
  <c r="Y57" i="1" s="1"/>
  <c r="T59" i="1"/>
  <c r="Q59" i="1"/>
  <c r="V59" i="1" l="1"/>
  <c r="L61" i="1"/>
  <c r="E62" i="1"/>
  <c r="J61" i="1"/>
  <c r="N61" i="1"/>
  <c r="H60" i="1"/>
  <c r="P59" i="1"/>
  <c r="U59" i="1" s="1"/>
  <c r="Y59" i="1" s="1"/>
  <c r="G62" i="1"/>
  <c r="R61" i="1"/>
  <c r="W61" i="1" s="1"/>
  <c r="T60" i="1"/>
  <c r="F61" i="1"/>
  <c r="K60" i="1"/>
  <c r="X60" i="1" s="1"/>
  <c r="O60" i="1"/>
  <c r="M60" i="1"/>
  <c r="U58" i="1"/>
  <c r="Y58" i="1" s="1"/>
  <c r="U60" i="1" l="1"/>
  <c r="O61" i="1"/>
  <c r="T61" i="1" s="1"/>
  <c r="K61" i="1"/>
  <c r="X61" i="1" s="1"/>
  <c r="M61" i="1"/>
  <c r="F62" i="1"/>
  <c r="G63" i="1"/>
  <c r="R62" i="1"/>
  <c r="W62" i="1" s="1"/>
  <c r="Y60" i="1"/>
  <c r="L62" i="1"/>
  <c r="J62" i="1"/>
  <c r="N62" i="1"/>
  <c r="E63" i="1"/>
  <c r="Q61" i="1"/>
  <c r="P60" i="1"/>
  <c r="V60" i="1" s="1"/>
  <c r="H61" i="1"/>
  <c r="E64" i="1" l="1"/>
  <c r="L63" i="1"/>
  <c r="J63" i="1"/>
  <c r="N63" i="1"/>
  <c r="Q63" i="1"/>
  <c r="R63" i="1"/>
  <c r="W63" i="1" s="1"/>
  <c r="G64" i="1"/>
  <c r="H62" i="1"/>
  <c r="P61" i="1"/>
  <c r="U61" i="1" s="1"/>
  <c r="F63" i="1"/>
  <c r="O62" i="1"/>
  <c r="T62" i="1" s="1"/>
  <c r="M62" i="1"/>
  <c r="K62" i="1"/>
  <c r="X62" i="1" s="1"/>
  <c r="Q62" i="1"/>
  <c r="N64" i="1" l="1"/>
  <c r="J64" i="1"/>
  <c r="E65" i="1"/>
  <c r="L64" i="1"/>
  <c r="V61" i="1"/>
  <c r="Y61" i="1" s="1"/>
  <c r="H63" i="1"/>
  <c r="P62" i="1"/>
  <c r="U62" i="1" s="1"/>
  <c r="R64" i="1"/>
  <c r="W64" i="1" s="1"/>
  <c r="G65" i="1"/>
  <c r="M63" i="1"/>
  <c r="F64" i="1"/>
  <c r="O63" i="1"/>
  <c r="T63" i="1" s="1"/>
  <c r="K63" i="1"/>
  <c r="X63" i="1" s="1"/>
  <c r="F65" i="1" l="1"/>
  <c r="M64" i="1"/>
  <c r="O64" i="1"/>
  <c r="K64" i="1"/>
  <c r="X64" i="1" s="1"/>
  <c r="V62" i="1"/>
  <c r="Y62" i="1" s="1"/>
  <c r="Q64" i="1"/>
  <c r="G66" i="1"/>
  <c r="R65" i="1"/>
  <c r="W65" i="1" s="1"/>
  <c r="Q65" i="1"/>
  <c r="N65" i="1"/>
  <c r="J65" i="1"/>
  <c r="E66" i="1"/>
  <c r="L65" i="1"/>
  <c r="H64" i="1"/>
  <c r="P63" i="1"/>
  <c r="T64" i="1"/>
  <c r="O65" i="1" l="1"/>
  <c r="K65" i="1"/>
  <c r="X65" i="1" s="1"/>
  <c r="F66" i="1"/>
  <c r="M65" i="1"/>
  <c r="L66" i="1"/>
  <c r="N66" i="1"/>
  <c r="J66" i="1"/>
  <c r="E67" i="1"/>
  <c r="V63" i="1"/>
  <c r="U63" i="1"/>
  <c r="Y63" i="1" s="1"/>
  <c r="T65" i="1"/>
  <c r="G67" i="1"/>
  <c r="R66" i="1"/>
  <c r="W66" i="1" s="1"/>
  <c r="Q66" i="1"/>
  <c r="H65" i="1"/>
  <c r="P64" i="1"/>
  <c r="U64" i="1" s="1"/>
  <c r="Y64" i="1" s="1"/>
  <c r="V64" i="1"/>
  <c r="O66" i="1" l="1"/>
  <c r="K66" i="1"/>
  <c r="X66" i="1" s="1"/>
  <c r="F67" i="1"/>
  <c r="M66" i="1"/>
  <c r="H66" i="1"/>
  <c r="P65" i="1"/>
  <c r="V65" i="1" s="1"/>
  <c r="E68" i="1"/>
  <c r="L67" i="1"/>
  <c r="N67" i="1"/>
  <c r="J67" i="1"/>
  <c r="G68" i="1"/>
  <c r="R67" i="1"/>
  <c r="W67" i="1" s="1"/>
  <c r="T66" i="1"/>
  <c r="M67" i="1" l="1"/>
  <c r="K67" i="1"/>
  <c r="X67" i="1" s="1"/>
  <c r="F68" i="1"/>
  <c r="O67" i="1"/>
  <c r="T67" i="1" s="1"/>
  <c r="R68" i="1"/>
  <c r="W68" i="1" s="1"/>
  <c r="G69" i="1"/>
  <c r="H67" i="1"/>
  <c r="P66" i="1"/>
  <c r="Q67" i="1"/>
  <c r="N68" i="1"/>
  <c r="J68" i="1"/>
  <c r="E69" i="1"/>
  <c r="L68" i="1"/>
  <c r="U65" i="1"/>
  <c r="Y65" i="1" s="1"/>
  <c r="N69" i="1" l="1"/>
  <c r="J69" i="1"/>
  <c r="E70" i="1"/>
  <c r="L69" i="1"/>
  <c r="G70" i="1"/>
  <c r="R69" i="1"/>
  <c r="W69" i="1" s="1"/>
  <c r="Q69" i="1"/>
  <c r="F69" i="1"/>
  <c r="M68" i="1"/>
  <c r="O68" i="1"/>
  <c r="T68" i="1" s="1"/>
  <c r="K68" i="1"/>
  <c r="X68" i="1" s="1"/>
  <c r="V66" i="1"/>
  <c r="U66" i="1"/>
  <c r="Y66" i="1" s="1"/>
  <c r="Q68" i="1"/>
  <c r="H68" i="1"/>
  <c r="P67" i="1"/>
  <c r="U67" i="1" s="1"/>
  <c r="L70" i="1" l="1"/>
  <c r="J70" i="1"/>
  <c r="E71" i="1"/>
  <c r="N70" i="1"/>
  <c r="P68" i="1"/>
  <c r="U68" i="1" s="1"/>
  <c r="Y68" i="1" s="1"/>
  <c r="H69" i="1"/>
  <c r="G71" i="1"/>
  <c r="R70" i="1"/>
  <c r="W70" i="1" s="1"/>
  <c r="V68" i="1"/>
  <c r="V67" i="1"/>
  <c r="Y67" i="1" s="1"/>
  <c r="O69" i="1"/>
  <c r="T69" i="1" s="1"/>
  <c r="K69" i="1"/>
  <c r="X69" i="1" s="1"/>
  <c r="F70" i="1"/>
  <c r="M69" i="1"/>
  <c r="G72" i="1" l="1"/>
  <c r="R71" i="1"/>
  <c r="W71" i="1" s="1"/>
  <c r="H70" i="1"/>
  <c r="P69" i="1"/>
  <c r="V69" i="1" s="1"/>
  <c r="E72" i="1"/>
  <c r="L71" i="1"/>
  <c r="J71" i="1"/>
  <c r="N71" i="1"/>
  <c r="O70" i="1"/>
  <c r="K70" i="1"/>
  <c r="X70" i="1" s="1"/>
  <c r="F71" i="1"/>
  <c r="M70" i="1"/>
  <c r="Q70" i="1"/>
  <c r="T70" i="1"/>
  <c r="G73" i="1" l="1"/>
  <c r="R72" i="1"/>
  <c r="W72" i="1" s="1"/>
  <c r="M71" i="1"/>
  <c r="O71" i="1"/>
  <c r="K71" i="1"/>
  <c r="X71" i="1" s="1"/>
  <c r="F72" i="1"/>
  <c r="U69" i="1"/>
  <c r="Y69" i="1" s="1"/>
  <c r="T71" i="1"/>
  <c r="H71" i="1"/>
  <c r="P70" i="1"/>
  <c r="U70" i="1" s="1"/>
  <c r="Y70" i="1" s="1"/>
  <c r="V70" i="1"/>
  <c r="L72" i="1"/>
  <c r="J72" i="1"/>
  <c r="E73" i="1"/>
  <c r="N72" i="1"/>
  <c r="Q71" i="1"/>
  <c r="K72" i="1" l="1"/>
  <c r="X72" i="1" s="1"/>
  <c r="F73" i="1"/>
  <c r="O72" i="1"/>
  <c r="M72" i="1"/>
  <c r="Q72" i="1"/>
  <c r="E74" i="1"/>
  <c r="N73" i="1"/>
  <c r="L73" i="1"/>
  <c r="J73" i="1"/>
  <c r="R73" i="1"/>
  <c r="W73" i="1" s="1"/>
  <c r="G74" i="1"/>
  <c r="T72" i="1"/>
  <c r="P71" i="1"/>
  <c r="U71" i="1" s="1"/>
  <c r="H72" i="1"/>
  <c r="T73" i="1" l="1"/>
  <c r="V71" i="1"/>
  <c r="Y71" i="1" s="1"/>
  <c r="R74" i="1"/>
  <c r="W74" i="1" s="1"/>
  <c r="G75" i="1"/>
  <c r="M73" i="1"/>
  <c r="F74" i="1"/>
  <c r="K73" i="1"/>
  <c r="X73" i="1" s="1"/>
  <c r="O73" i="1"/>
  <c r="H73" i="1"/>
  <c r="P72" i="1"/>
  <c r="U72" i="1" s="1"/>
  <c r="Q73" i="1"/>
  <c r="N74" i="1"/>
  <c r="J74" i="1"/>
  <c r="E75" i="1"/>
  <c r="L74" i="1"/>
  <c r="N75" i="1" l="1"/>
  <c r="L75" i="1"/>
  <c r="E76" i="1"/>
  <c r="J75" i="1"/>
  <c r="G76" i="1"/>
  <c r="R75" i="1"/>
  <c r="W75" i="1" s="1"/>
  <c r="Q75" i="1"/>
  <c r="F75" i="1"/>
  <c r="K74" i="1"/>
  <c r="X74" i="1" s="1"/>
  <c r="O74" i="1"/>
  <c r="T74" i="1" s="1"/>
  <c r="M74" i="1"/>
  <c r="H74" i="1"/>
  <c r="P73" i="1"/>
  <c r="U73" i="1" s="1"/>
  <c r="Q74" i="1"/>
  <c r="V72" i="1"/>
  <c r="Y72" i="1" s="1"/>
  <c r="P74" i="1" l="1"/>
  <c r="U74" i="1" s="1"/>
  <c r="H75" i="1"/>
  <c r="V73" i="1"/>
  <c r="Y73" i="1" s="1"/>
  <c r="T75" i="1"/>
  <c r="L76" i="1"/>
  <c r="J76" i="1"/>
  <c r="E77" i="1"/>
  <c r="N76" i="1"/>
  <c r="O75" i="1"/>
  <c r="K75" i="1"/>
  <c r="X75" i="1" s="1"/>
  <c r="F76" i="1"/>
  <c r="M75" i="1"/>
  <c r="G77" i="1"/>
  <c r="R76" i="1"/>
  <c r="W76" i="1" s="1"/>
  <c r="Q76" i="1"/>
  <c r="O76" i="1" l="1"/>
  <c r="K76" i="1"/>
  <c r="X76" i="1" s="1"/>
  <c r="F77" i="1"/>
  <c r="M76" i="1"/>
  <c r="T76" i="1"/>
  <c r="V74" i="1"/>
  <c r="Y74" i="1" s="1"/>
  <c r="L77" i="1"/>
  <c r="J77" i="1"/>
  <c r="E78" i="1"/>
  <c r="N77" i="1"/>
  <c r="R77" i="1"/>
  <c r="W77" i="1" s="1"/>
  <c r="G78" i="1"/>
  <c r="Q77" i="1"/>
  <c r="H76" i="1"/>
  <c r="P75" i="1"/>
  <c r="E79" i="1" l="1"/>
  <c r="L78" i="1"/>
  <c r="J78" i="1"/>
  <c r="N78" i="1"/>
  <c r="F78" i="1"/>
  <c r="O77" i="1"/>
  <c r="M77" i="1"/>
  <c r="K77" i="1"/>
  <c r="X77" i="1" s="1"/>
  <c r="V75" i="1"/>
  <c r="U75" i="1"/>
  <c r="Y75" i="1" s="1"/>
  <c r="Q78" i="1"/>
  <c r="R78" i="1"/>
  <c r="W78" i="1" s="1"/>
  <c r="G79" i="1"/>
  <c r="T77" i="1"/>
  <c r="P76" i="1"/>
  <c r="H77" i="1"/>
  <c r="T78" i="1" l="1"/>
  <c r="N79" i="1"/>
  <c r="J79" i="1"/>
  <c r="E80" i="1"/>
  <c r="L79" i="1"/>
  <c r="H78" i="1"/>
  <c r="P77" i="1"/>
  <c r="R79" i="1"/>
  <c r="W79" i="1" s="1"/>
  <c r="G80" i="1"/>
  <c r="M78" i="1"/>
  <c r="K78" i="1"/>
  <c r="X78" i="1" s="1"/>
  <c r="F79" i="1"/>
  <c r="O78" i="1"/>
  <c r="V76" i="1"/>
  <c r="U76" i="1"/>
  <c r="Y76" i="1" s="1"/>
  <c r="F80" i="1" l="1"/>
  <c r="O79" i="1"/>
  <c r="T79" i="1" s="1"/>
  <c r="M79" i="1"/>
  <c r="K79" i="1"/>
  <c r="X79" i="1" s="1"/>
  <c r="Q79" i="1"/>
  <c r="L80" i="1"/>
  <c r="J80" i="1"/>
  <c r="E81" i="1"/>
  <c r="N80" i="1"/>
  <c r="V77" i="1"/>
  <c r="U77" i="1"/>
  <c r="G81" i="1"/>
  <c r="Q80" i="1"/>
  <c r="R80" i="1"/>
  <c r="W80" i="1" s="1"/>
  <c r="H79" i="1"/>
  <c r="P78" i="1"/>
  <c r="V78" i="1" l="1"/>
  <c r="U78" i="1"/>
  <c r="Y78" i="1" s="1"/>
  <c r="H80" i="1"/>
  <c r="P79" i="1"/>
  <c r="U79" i="1" s="1"/>
  <c r="Y79" i="1" s="1"/>
  <c r="L81" i="1"/>
  <c r="E82" i="1"/>
  <c r="N81" i="1"/>
  <c r="J81" i="1"/>
  <c r="O80" i="1"/>
  <c r="K80" i="1"/>
  <c r="X80" i="1" s="1"/>
  <c r="F81" i="1"/>
  <c r="M80" i="1"/>
  <c r="R81" i="1"/>
  <c r="W81" i="1" s="1"/>
  <c r="G82" i="1"/>
  <c r="Q81" i="1"/>
  <c r="V79" i="1"/>
  <c r="Y77" i="1"/>
  <c r="T80" i="1"/>
  <c r="M81" i="1" l="1"/>
  <c r="F82" i="1"/>
  <c r="O81" i="1"/>
  <c r="T81" i="1" s="1"/>
  <c r="K81" i="1"/>
  <c r="X81" i="1" s="1"/>
  <c r="H81" i="1"/>
  <c r="P80" i="1"/>
  <c r="V80" i="1" s="1"/>
  <c r="Q82" i="1"/>
  <c r="G83" i="1"/>
  <c r="R82" i="1"/>
  <c r="W82" i="1" s="1"/>
  <c r="E83" i="1"/>
  <c r="J82" i="1"/>
  <c r="N82" i="1"/>
  <c r="L82" i="1"/>
  <c r="T82" i="1" l="1"/>
  <c r="R83" i="1"/>
  <c r="W83" i="1" s="1"/>
  <c r="G84" i="1"/>
  <c r="H82" i="1"/>
  <c r="P81" i="1"/>
  <c r="V81" i="1" s="1"/>
  <c r="N83" i="1"/>
  <c r="J83" i="1"/>
  <c r="L83" i="1"/>
  <c r="E84" i="1"/>
  <c r="M82" i="1"/>
  <c r="K82" i="1"/>
  <c r="X82" i="1" s="1"/>
  <c r="F83" i="1"/>
  <c r="O82" i="1"/>
  <c r="U80" i="1"/>
  <c r="Y80" i="1" s="1"/>
  <c r="P82" i="1" l="1"/>
  <c r="V82" i="1" s="1"/>
  <c r="H83" i="1"/>
  <c r="G85" i="1"/>
  <c r="R84" i="1"/>
  <c r="W84" i="1" s="1"/>
  <c r="U81" i="1"/>
  <c r="Y81" i="1" s="1"/>
  <c r="F84" i="1"/>
  <c r="M83" i="1"/>
  <c r="K83" i="1"/>
  <c r="X83" i="1" s="1"/>
  <c r="O83" i="1"/>
  <c r="T83" i="1" s="1"/>
  <c r="J84" i="1"/>
  <c r="E85" i="1"/>
  <c r="N84" i="1"/>
  <c r="L84" i="1"/>
  <c r="Q83" i="1"/>
  <c r="O84" i="1" l="1"/>
  <c r="K84" i="1"/>
  <c r="X84" i="1" s="1"/>
  <c r="F85" i="1"/>
  <c r="M84" i="1"/>
  <c r="R85" i="1"/>
  <c r="W85" i="1" s="1"/>
  <c r="G86" i="1"/>
  <c r="Q85" i="1"/>
  <c r="L85" i="1"/>
  <c r="E86" i="1"/>
  <c r="N85" i="1"/>
  <c r="J85" i="1"/>
  <c r="T84" i="1"/>
  <c r="Q84" i="1"/>
  <c r="H84" i="1"/>
  <c r="P83" i="1"/>
  <c r="U83" i="1" s="1"/>
  <c r="U82" i="1"/>
  <c r="Y82" i="1" s="1"/>
  <c r="R86" i="1" l="1"/>
  <c r="W86" i="1" s="1"/>
  <c r="G87" i="1"/>
  <c r="E87" i="1"/>
  <c r="J86" i="1"/>
  <c r="N86" i="1"/>
  <c r="L86" i="1"/>
  <c r="P84" i="1"/>
  <c r="U84" i="1" s="1"/>
  <c r="Y84" i="1" s="1"/>
  <c r="H85" i="1"/>
  <c r="V83" i="1"/>
  <c r="Y83" i="1" s="1"/>
  <c r="V84" i="1"/>
  <c r="M85" i="1"/>
  <c r="K85" i="1"/>
  <c r="X85" i="1" s="1"/>
  <c r="F86" i="1"/>
  <c r="O85" i="1"/>
  <c r="T85" i="1" s="1"/>
  <c r="R87" i="1" l="1"/>
  <c r="W87" i="1" s="1"/>
  <c r="Q87" i="1"/>
  <c r="G88" i="1"/>
  <c r="M86" i="1"/>
  <c r="F87" i="1"/>
  <c r="O86" i="1"/>
  <c r="K86" i="1"/>
  <c r="X86" i="1" s="1"/>
  <c r="H86" i="1"/>
  <c r="P85" i="1"/>
  <c r="V85" i="1" s="1"/>
  <c r="T86" i="1"/>
  <c r="N87" i="1"/>
  <c r="J87" i="1"/>
  <c r="L87" i="1"/>
  <c r="E88" i="1"/>
  <c r="Q86" i="1"/>
  <c r="E89" i="1" l="1"/>
  <c r="N88" i="1"/>
  <c r="L88" i="1"/>
  <c r="J88" i="1"/>
  <c r="F88" i="1"/>
  <c r="K87" i="1"/>
  <c r="X87" i="1" s="1"/>
  <c r="M87" i="1"/>
  <c r="O87" i="1"/>
  <c r="T87" i="1" s="1"/>
  <c r="H87" i="1"/>
  <c r="P86" i="1"/>
  <c r="U86" i="1" s="1"/>
  <c r="Y86" i="1" s="1"/>
  <c r="V86" i="1"/>
  <c r="G89" i="1"/>
  <c r="R88" i="1"/>
  <c r="W88" i="1" s="1"/>
  <c r="Q88" i="1"/>
  <c r="U85" i="1"/>
  <c r="Y85" i="1" s="1"/>
  <c r="L89" i="1" l="1"/>
  <c r="J89" i="1"/>
  <c r="E90" i="1"/>
  <c r="N89" i="1"/>
  <c r="H88" i="1"/>
  <c r="P87" i="1"/>
  <c r="G90" i="1"/>
  <c r="R89" i="1"/>
  <c r="W89" i="1" s="1"/>
  <c r="O88" i="1"/>
  <c r="T88" i="1" s="1"/>
  <c r="K88" i="1"/>
  <c r="X88" i="1" s="1"/>
  <c r="M88" i="1"/>
  <c r="F89" i="1"/>
  <c r="H89" i="1" l="1"/>
  <c r="P88" i="1"/>
  <c r="V88" i="1" s="1"/>
  <c r="V87" i="1"/>
  <c r="U87" i="1"/>
  <c r="Y87" i="1" s="1"/>
  <c r="R90" i="1"/>
  <c r="W90" i="1" s="1"/>
  <c r="G91" i="1"/>
  <c r="K89" i="1"/>
  <c r="X89" i="1" s="1"/>
  <c r="F90" i="1"/>
  <c r="O89" i="1"/>
  <c r="M89" i="1"/>
  <c r="T89" i="1"/>
  <c r="Q89" i="1"/>
  <c r="E91" i="1"/>
  <c r="N90" i="1"/>
  <c r="L90" i="1"/>
  <c r="J90" i="1"/>
  <c r="V89" i="1" l="1"/>
  <c r="M90" i="1"/>
  <c r="F91" i="1"/>
  <c r="O90" i="1"/>
  <c r="K90" i="1"/>
  <c r="X90" i="1" s="1"/>
  <c r="H90" i="1"/>
  <c r="P89" i="1"/>
  <c r="U89" i="1" s="1"/>
  <c r="Y89" i="1" s="1"/>
  <c r="T90" i="1"/>
  <c r="Q90" i="1"/>
  <c r="R91" i="1"/>
  <c r="W91" i="1" s="1"/>
  <c r="G92" i="1"/>
  <c r="N91" i="1"/>
  <c r="J91" i="1"/>
  <c r="E92" i="1"/>
  <c r="L91" i="1"/>
  <c r="U88" i="1"/>
  <c r="Y88" i="1" s="1"/>
  <c r="H91" i="1" l="1"/>
  <c r="P90" i="1"/>
  <c r="U90" i="1" s="1"/>
  <c r="G93" i="1"/>
  <c r="R92" i="1"/>
  <c r="W92" i="1" s="1"/>
  <c r="F92" i="1"/>
  <c r="Q92" i="1" s="1"/>
  <c r="K91" i="1"/>
  <c r="X91" i="1" s="1"/>
  <c r="O91" i="1"/>
  <c r="M91" i="1"/>
  <c r="Q91" i="1"/>
  <c r="E93" i="1"/>
  <c r="L92" i="1"/>
  <c r="J92" i="1"/>
  <c r="N92" i="1"/>
  <c r="T91" i="1"/>
  <c r="P91" i="1" l="1"/>
  <c r="U91" i="1" s="1"/>
  <c r="H92" i="1"/>
  <c r="V90" i="1"/>
  <c r="Y90" i="1" s="1"/>
  <c r="O92" i="1"/>
  <c r="K92" i="1"/>
  <c r="X92" i="1" s="1"/>
  <c r="F93" i="1"/>
  <c r="M92" i="1"/>
  <c r="T92" i="1"/>
  <c r="E94" i="1"/>
  <c r="L93" i="1"/>
  <c r="N93" i="1"/>
  <c r="J93" i="1"/>
  <c r="Q93" i="1"/>
  <c r="R93" i="1"/>
  <c r="W93" i="1" s="1"/>
  <c r="G94" i="1"/>
  <c r="N94" i="1" l="1"/>
  <c r="J94" i="1"/>
  <c r="L94" i="1"/>
  <c r="V91" i="1"/>
  <c r="Y91" i="1" s="1"/>
  <c r="M93" i="1"/>
  <c r="O93" i="1"/>
  <c r="T93" i="1" s="1"/>
  <c r="F94" i="1"/>
  <c r="K93" i="1"/>
  <c r="X93" i="1" s="1"/>
  <c r="R94" i="1"/>
  <c r="W94" i="1" s="1"/>
  <c r="Q94" i="1"/>
  <c r="H93" i="1"/>
  <c r="P92" i="1"/>
  <c r="V92" i="1" s="1"/>
  <c r="H94" i="1" l="1"/>
  <c r="P94" i="1" s="1"/>
  <c r="V94" i="1" s="1"/>
  <c r="P93" i="1"/>
  <c r="V93" i="1" s="1"/>
  <c r="M94" i="1"/>
  <c r="U94" i="1" s="1"/>
  <c r="K94" i="1"/>
  <c r="X94" i="1" s="1"/>
  <c r="O94" i="1"/>
  <c r="T94" i="1" s="1"/>
  <c r="U92" i="1"/>
  <c r="Y92" i="1" s="1"/>
  <c r="Y94" i="1" l="1"/>
  <c r="U93" i="1"/>
  <c r="Y9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境界等级序号；RealmService 按顺序遍历，突破和修炼用它定位当前层级。
生效表：境界等级表；修为门槛、四维和基础战斗面板。</t>
        </r>
      </text>
    </comment>
    <comment ref="B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显示名；UI、日志、战斗单位名或道具名展示。
生效表：境界等级表；修为门槛、四维和基础战斗面板。</t>
        </r>
      </text>
    </comment>
    <comment ref="C1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大境界 ID；用于判断是否跨大境界突破，并关联 major_realms 平衡配置。
生效表：境界等级表；修为门槛、四维和基础战斗面板。</t>
        </r>
      </text>
    </comment>
    <comment ref="D1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达到该层所需累计修为；修炼增长到门槛后进入下一层或触发突破。
生效表：境界等级表；修为门槛、四维和基础战斗面板。</t>
        </r>
      </text>
    </comment>
    <comment ref="E1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基础四维-肉身；用于生成气血、物攻、物防、承载等基础面板。
生效表：境界等级表；修为门槛、四维和基础战斗面板。</t>
        </r>
      </text>
    </comment>
    <comment ref="F1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基础四维-灵力；用于生成法力、法攻、法防、回蓝等基础面板。
生效表：境界等级表；修为门槛、四维和基础战斗面板。</t>
        </r>
      </text>
    </comment>
    <comment ref="G1" authorId="0" shapeId="0" xr:uid="{00000000-0006-0000-0000-000007000000}">
      <text>
        <r>
          <rPr>
            <sz val="11"/>
            <color theme="1"/>
            <rFont val="宋体"/>
            <family val="2"/>
            <scheme val="minor"/>
          </rPr>
          <t>基础四维-神识；用于生成法攻、法防、速度和控制相关基础面板。
生效表：境界等级表；修为门槛、四维和基础战斗面板。</t>
        </r>
      </text>
    </comment>
    <comment ref="H1" authorId="0" shapeId="0" xr:uid="{00000000-0006-0000-0000-000008000000}">
      <text>
        <r>
          <rPr>
            <sz val="11"/>
            <color theme="1"/>
            <rFont val="宋体"/>
            <family val="2"/>
            <scheme val="minor"/>
          </rPr>
          <t>基础四维-身法；用于生成出手速度等基础面板。
生效表：境界等级表；修为门槛、四维和基础战斗面板。</t>
        </r>
      </text>
    </comment>
    <comment ref="J1" authorId="0" shapeId="0" xr:uid="{00000000-0006-0000-0000-000009000000}">
      <text>
        <r>
          <rPr>
            <sz val="11"/>
            <color theme="1"/>
            <rFont val="宋体"/>
            <family val="2"/>
            <scheme val="minor"/>
          </rPr>
          <t>基础最大气血；战斗角色初始化时作为 hp_max。
生效表：境界等级表；修为门槛、四维和基础战斗面板。</t>
        </r>
      </text>
    </comment>
    <comment ref="K1" authorId="0" shapeId="0" xr:uid="{00000000-0006-0000-0000-00000A000000}">
      <text>
        <r>
          <rPr>
            <sz val="11"/>
            <color theme="1"/>
            <rFont val="宋体"/>
            <family val="2"/>
            <scheme val="minor"/>
          </rPr>
          <t>基础最大法力；战斗角色初始化时作为 mp_max。
生效表：境界等级表；修为门槛、四维和基础战斗面板。</t>
        </r>
      </text>
    </comment>
    <comment ref="L1" authorId="0" shapeId="0" xr:uid="{00000000-0006-0000-0000-00000B000000}">
      <text>
        <r>
          <rPr>
            <sz val="11"/>
            <color theme="1"/>
            <rFont val="宋体"/>
            <family val="2"/>
            <scheme val="minor"/>
          </rPr>
          <t>基础物理攻击；物理伤害公式读取。
生效表：境界等级表；修为门槛、四维和基础战斗面板。</t>
        </r>
      </text>
    </comment>
    <comment ref="M1" authorId="0" shapeId="0" xr:uid="{00000000-0006-0000-0000-00000C000000}">
      <text>
        <r>
          <rPr>
            <sz val="11"/>
            <color theme="1"/>
            <rFont val="宋体"/>
            <family val="2"/>
            <scheme val="minor"/>
          </rPr>
          <t>基础法术攻击；法术伤害公式读取。
生效表：境界等级表；修为门槛、四维和基础战斗面板。</t>
        </r>
      </text>
    </comment>
    <comment ref="N1" authorId="0" shapeId="0" xr:uid="{00000000-0006-0000-0000-00000D000000}">
      <text>
        <r>
          <rPr>
            <sz val="11"/>
            <color theme="1"/>
            <rFont val="宋体"/>
            <family val="2"/>
            <scheme val="minor"/>
          </rPr>
          <t>基础物理防御；承受物理伤害时读取。
生效表：境界等级表；修为门槛、四维和基础战斗面板。</t>
        </r>
      </text>
    </comment>
    <comment ref="O1" authorId="0" shapeId="0" xr:uid="{00000000-0006-0000-0000-00000E000000}">
      <text>
        <r>
          <rPr>
            <sz val="11"/>
            <color theme="1"/>
            <rFont val="宋体"/>
            <family val="2"/>
            <scheme val="minor"/>
          </rPr>
          <t>基础法术防御；承受法术伤害时读取。
生效表：境界等级表；修为门槛、四维和基础战斗面板。</t>
        </r>
      </text>
    </comment>
    <comment ref="P1" authorId="0" shapeId="0" xr:uid="{00000000-0006-0000-0000-00000F000000}">
      <text>
        <r>
          <rPr>
            <sz val="11"/>
            <color theme="1"/>
            <rFont val="宋体"/>
            <family val="2"/>
            <scheme val="minor"/>
          </rPr>
          <t>基础出手速度；行动条和先手排序读取。
生效表：境界等级表；修为门槛、四维和基础战斗面板。</t>
        </r>
      </text>
    </comment>
    <comment ref="Q1" authorId="0" shapeId="0" xr:uid="{00000000-0006-0000-0000-000010000000}">
      <text>
        <r>
          <rPr>
            <sz val="11"/>
            <color theme="1"/>
            <rFont val="宋体"/>
            <family val="2"/>
            <scheme val="minor"/>
          </rPr>
          <t>基础控制强度；控制命中/效果计算读取。
生效表：境界等级表；修为门槛、四维和基础战斗面板。</t>
        </r>
      </text>
    </comment>
    <comment ref="R1" authorId="0" shapeId="0" xr:uid="{00000000-0006-0000-0000-000011000000}">
      <text>
        <r>
          <rPr>
            <sz val="11"/>
            <color theme="1"/>
            <rFont val="宋体"/>
            <family val="2"/>
            <scheme val="minor"/>
          </rPr>
          <t>基础控制抗性；抵抗控制效果时读取。
生效表：境界等级表；修为门槛、四维和基础战斗面板。</t>
        </r>
      </text>
    </comment>
  </commentList>
</comments>
</file>

<file path=xl/sharedStrings.xml><?xml version="1.0" encoding="utf-8"?>
<sst xmlns="http://schemas.openxmlformats.org/spreadsheetml/2006/main" count="235" uniqueCount="148">
  <si>
    <t>等级</t>
  </si>
  <si>
    <t>名称</t>
  </si>
  <si>
    <t>大境界</t>
  </si>
  <si>
    <t>修为</t>
  </si>
  <si>
    <t>肉身</t>
  </si>
  <si>
    <t>灵力</t>
  </si>
  <si>
    <t>神识</t>
  </si>
  <si>
    <t>身法</t>
  </si>
  <si>
    <t>气血</t>
  </si>
  <si>
    <t>法力</t>
  </si>
  <si>
    <t>物攻</t>
  </si>
  <si>
    <t>法攻</t>
  </si>
  <si>
    <t>物防</t>
  </si>
  <si>
    <t>法防</t>
  </si>
  <si>
    <t>出手速度</t>
  </si>
  <si>
    <t>控制强度</t>
  </si>
  <si>
    <t>控制抗性</t>
  </si>
  <si>
    <t>level</t>
  </si>
  <si>
    <t>name</t>
  </si>
  <si>
    <t>realm</t>
  </si>
  <si>
    <t>xiuwei</t>
  </si>
  <si>
    <t>roushen</t>
  </si>
  <si>
    <t>lingli</t>
  </si>
  <si>
    <t>shenshi</t>
  </si>
  <si>
    <t>shenfa</t>
  </si>
  <si>
    <t>int</t>
  </si>
  <si>
    <t>string</t>
  </si>
  <si>
    <t>生存评分</t>
  </si>
  <si>
    <t>输出评分</t>
  </si>
  <si>
    <t>控制评分</t>
  </si>
  <si>
    <t>抗控评分</t>
  </si>
  <si>
    <t>法力评分</t>
  </si>
  <si>
    <t>属性评分</t>
  </si>
  <si>
    <t>战斗力 =</t>
  </si>
  <si>
    <t>k1</t>
  </si>
  <si>
    <t>气血 = 肉身 * 10 + 80</t>
  </si>
  <si>
    <t>法力 = 灵力 * 5 + 80</t>
  </si>
  <si>
    <t>物攻 = 肉身 * 2.5</t>
  </si>
  <si>
    <t>法攻 = 灵力 * 2.3 + 神识 * 0.5</t>
  </si>
  <si>
    <t>物防 = 肉身 * 1.2</t>
  </si>
  <si>
    <t>法防 = 灵力 * 1.1 + 神识 * 0.8</t>
  </si>
  <si>
    <t>出手速度 = 身法 * 2 + 神识 * 0.5 + 100</t>
  </si>
  <si>
    <t>控制强度 = 神识 * 1.6 + 灵力 * 0.5</t>
  </si>
  <si>
    <t>控制抗性 = 肉身 * 1 + 神识 * 1.2</t>
  </si>
  <si>
    <t>气血 × (1 + 物防 / 1000 × 0.5 + 法防 / 1000 × 0.5) × 0.3</t>
  </si>
  <si>
    <t>炼气一层</t>
  </si>
  <si>
    <t>lianqi</t>
  </si>
  <si>
    <t>+ (物攻 × 0.5 + 法攻 × 0.5) × 速度 / 100 × 5</t>
  </si>
  <si>
    <t>炼气二层</t>
  </si>
  <si>
    <t>+ 控制强度 × 速度 / 100 × 2</t>
  </si>
  <si>
    <t>炼气三层</t>
  </si>
  <si>
    <t>+ 控制抗性 × 1.5</t>
  </si>
  <si>
    <t>炼气四层</t>
  </si>
  <si>
    <t>+ 法力 × 0.3</t>
  </si>
  <si>
    <t>炼气五层</t>
  </si>
  <si>
    <t>炼气六层</t>
  </si>
  <si>
    <t>炼气七层</t>
  </si>
  <si>
    <t>炼气八层</t>
  </si>
  <si>
    <t>炼气九层</t>
  </si>
  <si>
    <t>筑基一层</t>
  </si>
  <si>
    <t>zhuji</t>
  </si>
  <si>
    <t>筑基二层</t>
  </si>
  <si>
    <t>筑基三层</t>
  </si>
  <si>
    <t>筑基四层</t>
  </si>
  <si>
    <t>筑基五层</t>
  </si>
  <si>
    <t>筑基六层</t>
  </si>
  <si>
    <t>筑基七层</t>
  </si>
  <si>
    <t>筑基八层</t>
  </si>
  <si>
    <t>筑基九层</t>
  </si>
  <si>
    <t>筑基十层</t>
  </si>
  <si>
    <t>金丹一层</t>
  </si>
  <si>
    <t>jindan</t>
  </si>
  <si>
    <t>金丹二层</t>
  </si>
  <si>
    <t>金丹三层</t>
  </si>
  <si>
    <t>金丹四层</t>
  </si>
  <si>
    <t>金丹五层</t>
  </si>
  <si>
    <t>金丹六层</t>
  </si>
  <si>
    <t>金丹七层</t>
  </si>
  <si>
    <t>金丹八层</t>
  </si>
  <si>
    <t>金丹九层</t>
  </si>
  <si>
    <t>金丹十层</t>
  </si>
  <si>
    <t>元婴一层</t>
  </si>
  <si>
    <t>yuanying</t>
  </si>
  <si>
    <t>元婴二层</t>
  </si>
  <si>
    <t>元婴三层</t>
  </si>
  <si>
    <t>元婴四层</t>
  </si>
  <si>
    <t>元婴五层</t>
  </si>
  <si>
    <t>元婴六层</t>
  </si>
  <si>
    <t>元婴七层</t>
  </si>
  <si>
    <t>元婴八层</t>
  </si>
  <si>
    <t>元婴九层</t>
  </si>
  <si>
    <t>元婴十层</t>
  </si>
  <si>
    <t>化神一层</t>
  </si>
  <si>
    <t>huashen</t>
  </si>
  <si>
    <t>化神二层</t>
  </si>
  <si>
    <t>化神三层</t>
  </si>
  <si>
    <t>化神四层</t>
  </si>
  <si>
    <t>化神五层</t>
  </si>
  <si>
    <t>化神六层</t>
  </si>
  <si>
    <t>化神七层</t>
  </si>
  <si>
    <t>化神八层</t>
  </si>
  <si>
    <t>化神九层</t>
  </si>
  <si>
    <t>化神十层</t>
  </si>
  <si>
    <t>炼虚一层</t>
  </si>
  <si>
    <t>lianxu</t>
  </si>
  <si>
    <t>炼虚二层</t>
  </si>
  <si>
    <t>炼虚三层</t>
  </si>
  <si>
    <t>炼虚四层</t>
  </si>
  <si>
    <t>炼虚五层</t>
  </si>
  <si>
    <t>炼虚六层</t>
  </si>
  <si>
    <t>炼虚七层</t>
  </si>
  <si>
    <t>炼虚八层</t>
  </si>
  <si>
    <t>炼虚九层</t>
  </si>
  <si>
    <t>炼虚十层</t>
  </si>
  <si>
    <t>合体一层</t>
  </si>
  <si>
    <t>heti</t>
  </si>
  <si>
    <t>合体二层</t>
  </si>
  <si>
    <t>合体三层</t>
  </si>
  <si>
    <t>合体四层</t>
  </si>
  <si>
    <t>合体五层</t>
  </si>
  <si>
    <t>合体六层</t>
  </si>
  <si>
    <t>合体七层</t>
  </si>
  <si>
    <t>合体八层</t>
  </si>
  <si>
    <t>合体九层</t>
  </si>
  <si>
    <t>合体十层</t>
  </si>
  <si>
    <t>大乘一层</t>
  </si>
  <si>
    <t>dacheng</t>
  </si>
  <si>
    <t>大乘二层</t>
  </si>
  <si>
    <t>大乘三层</t>
  </si>
  <si>
    <t>大乘四层</t>
  </si>
  <si>
    <t>大乘五层</t>
  </si>
  <si>
    <t>大乘六层</t>
  </si>
  <si>
    <t>大乘七层</t>
  </si>
  <si>
    <t>大乘八层</t>
  </si>
  <si>
    <t>大乘九层</t>
  </si>
  <si>
    <t>大乘十层</t>
  </si>
  <si>
    <t>渡劫一层</t>
  </si>
  <si>
    <t>dujie</t>
  </si>
  <si>
    <t>渡劫二层</t>
  </si>
  <si>
    <t>渡劫三层</t>
  </si>
  <si>
    <t>渡劫四层</t>
  </si>
  <si>
    <t>渡劫五层</t>
  </si>
  <si>
    <t>渡劫六层</t>
  </si>
  <si>
    <t>渡劫七层</t>
  </si>
  <si>
    <t>渡劫八层</t>
  </si>
  <si>
    <t>渡劫九层</t>
  </si>
  <si>
    <t>渡劫十层</t>
  </si>
  <si>
    <t>渡劫十一层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</si>
</sst>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49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4"/>
  <sheetViews>
    <sheetView tabSelected="1" zoomScaleNormal="100" workbookViewId="0">
      <selection activeCell="E14" sqref="E14"/>
    </sheetView>
  </sheetViews>
  <sheetFormatPr defaultRowHeight="13.5" x14ac:dyDescent="0.15"/>
  <cols>
    <col min="9" max="9" width="7.5" customWidth="1"/>
    <col min="21" max="21" width="11.75" customWidth="1"/>
    <col min="22" max="22" width="8.5" customWidth="1"/>
  </cols>
  <sheetData>
    <row r="1" spans="1:27" x14ac:dyDescent="0.1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27" ht="15.75" customHeight="1" x14ac:dyDescent="0.3">
      <c r="A2" t="s">
        <v>17</v>
      </c>
      <c r="B2" t="s">
        <v>18</v>
      </c>
      <c r="C2" t="s">
        <v>19</v>
      </c>
      <c r="D2" t="s">
        <v>20</v>
      </c>
      <c r="E2" s="3" t="s">
        <v>21</v>
      </c>
      <c r="F2" s="3" t="s">
        <v>22</v>
      </c>
      <c r="G2" s="3" t="s">
        <v>23</v>
      </c>
      <c r="H2" s="3" t="s">
        <v>24</v>
      </c>
    </row>
    <row r="3" spans="1:27" x14ac:dyDescent="0.15">
      <c r="A3" t="s">
        <v>25</v>
      </c>
      <c r="B3" t="s">
        <v>26</v>
      </c>
      <c r="C3" t="s">
        <v>26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  <c r="Y3" t="s">
        <v>32</v>
      </c>
      <c r="AA3" t="s">
        <v>33</v>
      </c>
    </row>
    <row r="4" spans="1:27" s="4" customFormat="1" ht="62.25" customHeight="1" x14ac:dyDescent="0.15">
      <c r="A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AA4" s="4" t="s">
        <v>44</v>
      </c>
    </row>
    <row r="5" spans="1:27" ht="15.75" customHeight="1" x14ac:dyDescent="0.3">
      <c r="A5">
        <v>1</v>
      </c>
      <c r="B5" t="s">
        <v>45</v>
      </c>
      <c r="C5" t="s">
        <v>46</v>
      </c>
      <c r="D5">
        <v>300</v>
      </c>
      <c r="E5" s="2">
        <v>10</v>
      </c>
      <c r="F5" s="2">
        <v>5</v>
      </c>
      <c r="G5" s="2">
        <v>5</v>
      </c>
      <c r="H5" s="2">
        <v>10</v>
      </c>
      <c r="J5" s="3">
        <f t="shared" ref="J5:J36" si="0">80 +E5*10</f>
        <v>180</v>
      </c>
      <c r="K5" s="3">
        <f t="shared" ref="K5:K36" si="1">80 +F5*5</f>
        <v>105</v>
      </c>
      <c r="L5" s="3">
        <f t="shared" ref="L5:L36" si="2">E5*2.5</f>
        <v>25</v>
      </c>
      <c r="M5">
        <f t="shared" ref="M5:M36" si="3">F5*2.3+G5*0.5</f>
        <v>14</v>
      </c>
      <c r="N5">
        <f t="shared" ref="N5:N36" si="4">E5*1.2</f>
        <v>12</v>
      </c>
      <c r="O5">
        <f t="shared" ref="O5:O36" si="5">F5*1.1+G5*0.8</f>
        <v>9.5</v>
      </c>
      <c r="P5">
        <f t="shared" ref="P5:P36" si="6">100+H5*2 + G5*0.5</f>
        <v>122.5</v>
      </c>
      <c r="Q5">
        <f t="shared" ref="Q5:Q36" si="7">G5*1.6+F5*0.5</f>
        <v>10.5</v>
      </c>
      <c r="R5">
        <f t="shared" ref="R5:R36" si="8">G5*1.2 + E5</f>
        <v>16</v>
      </c>
      <c r="T5">
        <f t="shared" ref="T5:T36" si="9">J5*(1+N5/1000*0.5 + O5/1000*0.5)*0.3</f>
        <v>54.580500000000001</v>
      </c>
      <c r="U5">
        <f t="shared" ref="U5:U36" si="10">(L5*0.5+M5*0.5)*P5/100*5</f>
        <v>119.4375</v>
      </c>
      <c r="V5">
        <f t="shared" ref="V5:V36" si="11">Q5*P5/100*2</f>
        <v>25.725000000000001</v>
      </c>
      <c r="W5">
        <f t="shared" ref="W5:W36" si="12">R5*1.5</f>
        <v>24</v>
      </c>
      <c r="X5">
        <f t="shared" ref="X5:X36" si="13">K5*0.3</f>
        <v>31.5</v>
      </c>
      <c r="Y5">
        <f t="shared" ref="Y5:Y36" si="14">FLOOR(SUM(T5:X5),1)</f>
        <v>255</v>
      </c>
      <c r="AA5" t="s">
        <v>47</v>
      </c>
    </row>
    <row r="6" spans="1:27" ht="15.75" customHeight="1" x14ac:dyDescent="0.3">
      <c r="A6">
        <v>2</v>
      </c>
      <c r="B6" t="s">
        <v>48</v>
      </c>
      <c r="C6" t="s">
        <v>46</v>
      </c>
      <c r="D6">
        <v>467</v>
      </c>
      <c r="E6">
        <v>12</v>
      </c>
      <c r="F6">
        <v>6</v>
      </c>
      <c r="G6">
        <v>6</v>
      </c>
      <c r="H6">
        <v>11</v>
      </c>
      <c r="J6" s="3">
        <f t="shared" si="0"/>
        <v>200</v>
      </c>
      <c r="K6" s="3">
        <f t="shared" si="1"/>
        <v>110</v>
      </c>
      <c r="L6" s="3">
        <f t="shared" si="2"/>
        <v>30</v>
      </c>
      <c r="M6">
        <f t="shared" si="3"/>
        <v>16.799999999999997</v>
      </c>
      <c r="N6">
        <f t="shared" si="4"/>
        <v>14.399999999999999</v>
      </c>
      <c r="O6">
        <f t="shared" si="5"/>
        <v>11.400000000000002</v>
      </c>
      <c r="P6">
        <f t="shared" si="6"/>
        <v>125</v>
      </c>
      <c r="Q6">
        <f t="shared" si="7"/>
        <v>12.600000000000001</v>
      </c>
      <c r="R6">
        <f t="shared" si="8"/>
        <v>19.2</v>
      </c>
      <c r="T6">
        <f t="shared" si="9"/>
        <v>60.774000000000008</v>
      </c>
      <c r="U6">
        <f t="shared" si="10"/>
        <v>146.25</v>
      </c>
      <c r="V6">
        <f t="shared" si="11"/>
        <v>31.500000000000004</v>
      </c>
      <c r="W6">
        <f t="shared" si="12"/>
        <v>28.799999999999997</v>
      </c>
      <c r="X6">
        <f t="shared" si="13"/>
        <v>33</v>
      </c>
      <c r="Y6">
        <f t="shared" si="14"/>
        <v>300</v>
      </c>
      <c r="AA6" t="s">
        <v>49</v>
      </c>
    </row>
    <row r="7" spans="1:27" ht="15.75" customHeight="1" x14ac:dyDescent="0.3">
      <c r="A7">
        <v>3</v>
      </c>
      <c r="B7" t="s">
        <v>50</v>
      </c>
      <c r="C7" t="s">
        <v>46</v>
      </c>
      <c r="D7">
        <v>633</v>
      </c>
      <c r="E7" s="2">
        <v>14</v>
      </c>
      <c r="F7" s="2">
        <v>7</v>
      </c>
      <c r="G7" s="2">
        <v>7</v>
      </c>
      <c r="H7" s="2">
        <v>12</v>
      </c>
      <c r="J7" s="3">
        <f t="shared" si="0"/>
        <v>220</v>
      </c>
      <c r="K7" s="3">
        <f t="shared" si="1"/>
        <v>115</v>
      </c>
      <c r="L7" s="3">
        <f t="shared" si="2"/>
        <v>35</v>
      </c>
      <c r="M7">
        <f t="shared" si="3"/>
        <v>19.599999999999998</v>
      </c>
      <c r="N7">
        <f t="shared" si="4"/>
        <v>16.8</v>
      </c>
      <c r="O7">
        <f t="shared" si="5"/>
        <v>13.3</v>
      </c>
      <c r="P7">
        <f t="shared" si="6"/>
        <v>127.5</v>
      </c>
      <c r="Q7">
        <f t="shared" si="7"/>
        <v>14.700000000000001</v>
      </c>
      <c r="R7">
        <f t="shared" si="8"/>
        <v>22.4</v>
      </c>
      <c r="T7">
        <f t="shared" si="9"/>
        <v>66.993300000000005</v>
      </c>
      <c r="U7">
        <f t="shared" si="10"/>
        <v>174.03749999999999</v>
      </c>
      <c r="V7">
        <f t="shared" si="11"/>
        <v>37.485000000000007</v>
      </c>
      <c r="W7">
        <f t="shared" si="12"/>
        <v>33.599999999999994</v>
      </c>
      <c r="X7">
        <f t="shared" si="13"/>
        <v>34.5</v>
      </c>
      <c r="Y7">
        <f t="shared" si="14"/>
        <v>346</v>
      </c>
      <c r="AA7" t="s">
        <v>51</v>
      </c>
    </row>
    <row r="8" spans="1:27" ht="15.75" customHeight="1" x14ac:dyDescent="0.3">
      <c r="A8">
        <v>4</v>
      </c>
      <c r="B8" t="s">
        <v>52</v>
      </c>
      <c r="C8" t="s">
        <v>46</v>
      </c>
      <c r="D8">
        <v>800</v>
      </c>
      <c r="E8">
        <v>16</v>
      </c>
      <c r="F8">
        <v>8</v>
      </c>
      <c r="G8">
        <v>8</v>
      </c>
      <c r="H8">
        <v>13</v>
      </c>
      <c r="J8" s="3">
        <f t="shared" si="0"/>
        <v>240</v>
      </c>
      <c r="K8" s="3">
        <f t="shared" si="1"/>
        <v>120</v>
      </c>
      <c r="L8" s="3">
        <f t="shared" si="2"/>
        <v>40</v>
      </c>
      <c r="M8">
        <f t="shared" si="3"/>
        <v>22.4</v>
      </c>
      <c r="N8">
        <f t="shared" si="4"/>
        <v>19.2</v>
      </c>
      <c r="O8">
        <f t="shared" si="5"/>
        <v>15.200000000000001</v>
      </c>
      <c r="P8">
        <f t="shared" si="6"/>
        <v>130</v>
      </c>
      <c r="Q8">
        <f t="shared" si="7"/>
        <v>16.8</v>
      </c>
      <c r="R8">
        <f t="shared" si="8"/>
        <v>25.6</v>
      </c>
      <c r="T8">
        <f t="shared" si="9"/>
        <v>73.238399999999999</v>
      </c>
      <c r="U8">
        <f t="shared" si="10"/>
        <v>202.8</v>
      </c>
      <c r="V8">
        <f t="shared" si="11"/>
        <v>43.68</v>
      </c>
      <c r="W8">
        <f t="shared" si="12"/>
        <v>38.400000000000006</v>
      </c>
      <c r="X8">
        <f t="shared" si="13"/>
        <v>36</v>
      </c>
      <c r="Y8">
        <f t="shared" si="14"/>
        <v>394</v>
      </c>
      <c r="AA8" t="s">
        <v>53</v>
      </c>
    </row>
    <row r="9" spans="1:27" ht="15.75" customHeight="1" x14ac:dyDescent="0.3">
      <c r="A9">
        <v>5</v>
      </c>
      <c r="B9" t="s">
        <v>54</v>
      </c>
      <c r="C9" t="s">
        <v>46</v>
      </c>
      <c r="D9">
        <v>1067</v>
      </c>
      <c r="E9" s="2">
        <v>18</v>
      </c>
      <c r="F9" s="2">
        <v>9</v>
      </c>
      <c r="G9" s="2">
        <v>9</v>
      </c>
      <c r="H9" s="2">
        <v>14</v>
      </c>
      <c r="J9" s="3">
        <f t="shared" si="0"/>
        <v>260</v>
      </c>
      <c r="K9" s="3">
        <f t="shared" si="1"/>
        <v>125</v>
      </c>
      <c r="L9" s="3">
        <f t="shared" si="2"/>
        <v>45</v>
      </c>
      <c r="M9">
        <f t="shared" si="3"/>
        <v>25.2</v>
      </c>
      <c r="N9">
        <f t="shared" si="4"/>
        <v>21.599999999999998</v>
      </c>
      <c r="O9">
        <f t="shared" si="5"/>
        <v>17.100000000000001</v>
      </c>
      <c r="P9">
        <f t="shared" si="6"/>
        <v>132.5</v>
      </c>
      <c r="Q9">
        <f t="shared" si="7"/>
        <v>18.899999999999999</v>
      </c>
      <c r="R9">
        <f t="shared" si="8"/>
        <v>28.799999999999997</v>
      </c>
      <c r="T9">
        <f t="shared" si="9"/>
        <v>79.509299999999996</v>
      </c>
      <c r="U9">
        <f t="shared" si="10"/>
        <v>232.53749999999999</v>
      </c>
      <c r="V9">
        <f t="shared" si="11"/>
        <v>50.085000000000001</v>
      </c>
      <c r="W9">
        <f t="shared" si="12"/>
        <v>43.199999999999996</v>
      </c>
      <c r="X9">
        <f t="shared" si="13"/>
        <v>37.5</v>
      </c>
      <c r="Y9">
        <f t="shared" si="14"/>
        <v>442</v>
      </c>
    </row>
    <row r="10" spans="1:27" ht="15.75" customHeight="1" x14ac:dyDescent="0.3">
      <c r="A10">
        <v>6</v>
      </c>
      <c r="B10" t="s">
        <v>55</v>
      </c>
      <c r="C10" t="s">
        <v>46</v>
      </c>
      <c r="D10">
        <v>1333</v>
      </c>
      <c r="E10">
        <v>20</v>
      </c>
      <c r="F10">
        <v>10</v>
      </c>
      <c r="G10">
        <v>10</v>
      </c>
      <c r="H10">
        <v>15</v>
      </c>
      <c r="J10" s="3">
        <f t="shared" si="0"/>
        <v>280</v>
      </c>
      <c r="K10" s="3">
        <f t="shared" si="1"/>
        <v>130</v>
      </c>
      <c r="L10" s="3">
        <f t="shared" si="2"/>
        <v>50</v>
      </c>
      <c r="M10">
        <f t="shared" si="3"/>
        <v>28</v>
      </c>
      <c r="N10">
        <f t="shared" si="4"/>
        <v>24</v>
      </c>
      <c r="O10">
        <f t="shared" si="5"/>
        <v>19</v>
      </c>
      <c r="P10">
        <f t="shared" si="6"/>
        <v>135</v>
      </c>
      <c r="Q10">
        <f t="shared" si="7"/>
        <v>21</v>
      </c>
      <c r="R10">
        <f t="shared" si="8"/>
        <v>32</v>
      </c>
      <c r="T10">
        <f t="shared" si="9"/>
        <v>85.806000000000012</v>
      </c>
      <c r="U10">
        <f t="shared" si="10"/>
        <v>263.25</v>
      </c>
      <c r="V10">
        <f t="shared" si="11"/>
        <v>56.7</v>
      </c>
      <c r="W10">
        <f t="shared" si="12"/>
        <v>48</v>
      </c>
      <c r="X10">
        <f t="shared" si="13"/>
        <v>39</v>
      </c>
      <c r="Y10">
        <f t="shared" si="14"/>
        <v>492</v>
      </c>
    </row>
    <row r="11" spans="1:27" ht="15.75" customHeight="1" x14ac:dyDescent="0.3">
      <c r="A11">
        <v>7</v>
      </c>
      <c r="B11" t="s">
        <v>56</v>
      </c>
      <c r="C11" t="s">
        <v>46</v>
      </c>
      <c r="D11">
        <v>1600</v>
      </c>
      <c r="E11" s="2">
        <v>22</v>
      </c>
      <c r="F11" s="2">
        <v>11</v>
      </c>
      <c r="G11" s="2">
        <v>11</v>
      </c>
      <c r="H11" s="2">
        <v>16</v>
      </c>
      <c r="J11" s="3">
        <f t="shared" si="0"/>
        <v>300</v>
      </c>
      <c r="K11" s="3">
        <f t="shared" si="1"/>
        <v>135</v>
      </c>
      <c r="L11" s="3">
        <f t="shared" si="2"/>
        <v>55</v>
      </c>
      <c r="M11">
        <f t="shared" si="3"/>
        <v>30.799999999999997</v>
      </c>
      <c r="N11">
        <f t="shared" si="4"/>
        <v>26.4</v>
      </c>
      <c r="O11">
        <f t="shared" si="5"/>
        <v>20.900000000000002</v>
      </c>
      <c r="P11">
        <f t="shared" si="6"/>
        <v>137.5</v>
      </c>
      <c r="Q11">
        <f t="shared" si="7"/>
        <v>23.1</v>
      </c>
      <c r="R11">
        <f t="shared" si="8"/>
        <v>35.200000000000003</v>
      </c>
      <c r="T11">
        <f t="shared" si="9"/>
        <v>92.128500000000003</v>
      </c>
      <c r="U11">
        <f t="shared" si="10"/>
        <v>294.9375</v>
      </c>
      <c r="V11">
        <f t="shared" si="11"/>
        <v>63.524999999999999</v>
      </c>
      <c r="W11">
        <f t="shared" si="12"/>
        <v>52.800000000000004</v>
      </c>
      <c r="X11">
        <f t="shared" si="13"/>
        <v>40.5</v>
      </c>
      <c r="Y11">
        <f t="shared" si="14"/>
        <v>543</v>
      </c>
    </row>
    <row r="12" spans="1:27" ht="15.75" customHeight="1" x14ac:dyDescent="0.3">
      <c r="A12">
        <v>8</v>
      </c>
      <c r="B12" t="s">
        <v>57</v>
      </c>
      <c r="C12" t="s">
        <v>46</v>
      </c>
      <c r="D12">
        <v>2400</v>
      </c>
      <c r="E12">
        <v>24</v>
      </c>
      <c r="F12">
        <v>12</v>
      </c>
      <c r="G12">
        <v>12</v>
      </c>
      <c r="H12">
        <v>17</v>
      </c>
      <c r="J12" s="3">
        <f t="shared" si="0"/>
        <v>320</v>
      </c>
      <c r="K12" s="3">
        <f t="shared" si="1"/>
        <v>140</v>
      </c>
      <c r="L12" s="3">
        <f t="shared" si="2"/>
        <v>60</v>
      </c>
      <c r="M12">
        <f t="shared" si="3"/>
        <v>33.599999999999994</v>
      </c>
      <c r="N12">
        <f t="shared" si="4"/>
        <v>28.799999999999997</v>
      </c>
      <c r="O12">
        <f t="shared" si="5"/>
        <v>22.800000000000004</v>
      </c>
      <c r="P12">
        <f t="shared" si="6"/>
        <v>140</v>
      </c>
      <c r="Q12">
        <f t="shared" si="7"/>
        <v>25.200000000000003</v>
      </c>
      <c r="R12">
        <f t="shared" si="8"/>
        <v>38.4</v>
      </c>
      <c r="T12">
        <f t="shared" si="9"/>
        <v>98.476800000000011</v>
      </c>
      <c r="U12">
        <f t="shared" si="10"/>
        <v>327.59999999999997</v>
      </c>
      <c r="V12">
        <f t="shared" si="11"/>
        <v>70.56</v>
      </c>
      <c r="W12">
        <f t="shared" si="12"/>
        <v>57.599999999999994</v>
      </c>
      <c r="X12">
        <f t="shared" si="13"/>
        <v>42</v>
      </c>
      <c r="Y12">
        <f t="shared" si="14"/>
        <v>596</v>
      </c>
    </row>
    <row r="13" spans="1:27" ht="15.75" customHeight="1" x14ac:dyDescent="0.3">
      <c r="A13">
        <v>9</v>
      </c>
      <c r="B13" t="s">
        <v>58</v>
      </c>
      <c r="C13" t="s">
        <v>46</v>
      </c>
      <c r="D13">
        <v>3200</v>
      </c>
      <c r="E13" s="2">
        <v>26</v>
      </c>
      <c r="F13" s="2">
        <v>13</v>
      </c>
      <c r="G13" s="2">
        <v>13</v>
      </c>
      <c r="H13" s="2">
        <v>18</v>
      </c>
      <c r="J13" s="3">
        <f t="shared" si="0"/>
        <v>340</v>
      </c>
      <c r="K13" s="3">
        <f t="shared" si="1"/>
        <v>145</v>
      </c>
      <c r="L13" s="3">
        <f t="shared" si="2"/>
        <v>65</v>
      </c>
      <c r="M13">
        <f t="shared" si="3"/>
        <v>36.4</v>
      </c>
      <c r="N13">
        <f t="shared" si="4"/>
        <v>31.2</v>
      </c>
      <c r="O13">
        <f t="shared" si="5"/>
        <v>24.700000000000003</v>
      </c>
      <c r="P13">
        <f t="shared" si="6"/>
        <v>142.5</v>
      </c>
      <c r="Q13">
        <f t="shared" si="7"/>
        <v>27.3</v>
      </c>
      <c r="R13">
        <f t="shared" si="8"/>
        <v>41.6</v>
      </c>
      <c r="T13">
        <f t="shared" si="9"/>
        <v>104.85090000000001</v>
      </c>
      <c r="U13">
        <f t="shared" si="10"/>
        <v>361.23750000000001</v>
      </c>
      <c r="V13">
        <f t="shared" si="11"/>
        <v>77.805000000000007</v>
      </c>
      <c r="W13">
        <f t="shared" si="12"/>
        <v>62.400000000000006</v>
      </c>
      <c r="X13">
        <f t="shared" si="13"/>
        <v>43.5</v>
      </c>
      <c r="Y13">
        <f t="shared" si="14"/>
        <v>649</v>
      </c>
    </row>
    <row r="14" spans="1:27" ht="15.75" customHeight="1" x14ac:dyDescent="0.3">
      <c r="A14">
        <v>10</v>
      </c>
      <c r="B14" t="s">
        <v>59</v>
      </c>
      <c r="C14" t="s">
        <v>60</v>
      </c>
      <c r="D14">
        <v>4000</v>
      </c>
      <c r="E14">
        <f>E13*3</f>
        <v>78</v>
      </c>
      <c r="F14">
        <f>F13*3</f>
        <v>39</v>
      </c>
      <c r="G14">
        <f>G13*3</f>
        <v>39</v>
      </c>
      <c r="H14">
        <f>H13*3</f>
        <v>54</v>
      </c>
      <c r="J14" s="3">
        <f t="shared" si="0"/>
        <v>860</v>
      </c>
      <c r="K14" s="3">
        <f t="shared" si="1"/>
        <v>275</v>
      </c>
      <c r="L14" s="3">
        <f t="shared" si="2"/>
        <v>195</v>
      </c>
      <c r="M14">
        <f t="shared" si="3"/>
        <v>109.19999999999999</v>
      </c>
      <c r="N14">
        <f t="shared" si="4"/>
        <v>93.6</v>
      </c>
      <c r="O14">
        <f t="shared" si="5"/>
        <v>74.100000000000009</v>
      </c>
      <c r="P14">
        <f t="shared" si="6"/>
        <v>227.5</v>
      </c>
      <c r="Q14">
        <f t="shared" si="7"/>
        <v>81.900000000000006</v>
      </c>
      <c r="R14">
        <f t="shared" si="8"/>
        <v>124.8</v>
      </c>
      <c r="T14">
        <f t="shared" si="9"/>
        <v>279.63329999999996</v>
      </c>
      <c r="U14">
        <f t="shared" si="10"/>
        <v>1730.1374999999998</v>
      </c>
      <c r="V14">
        <f t="shared" si="11"/>
        <v>372.64499999999998</v>
      </c>
      <c r="W14">
        <f t="shared" si="12"/>
        <v>187.2</v>
      </c>
      <c r="X14">
        <f t="shared" si="13"/>
        <v>82.5</v>
      </c>
      <c r="Y14">
        <f t="shared" si="14"/>
        <v>2652</v>
      </c>
    </row>
    <row r="15" spans="1:27" ht="15.75" customHeight="1" x14ac:dyDescent="0.3">
      <c r="A15">
        <v>11</v>
      </c>
      <c r="B15" t="s">
        <v>61</v>
      </c>
      <c r="C15" t="s">
        <v>60</v>
      </c>
      <c r="D15">
        <v>4967</v>
      </c>
      <c r="E15">
        <f t="shared" ref="E15:E23" si="15">E14+4</f>
        <v>82</v>
      </c>
      <c r="F15">
        <f t="shared" ref="F15:F23" si="16">F14+2</f>
        <v>41</v>
      </c>
      <c r="G15">
        <f t="shared" ref="G15:G23" si="17">G14+2</f>
        <v>41</v>
      </c>
      <c r="H15">
        <f t="shared" ref="H15:H23" si="18">H14+1</f>
        <v>55</v>
      </c>
      <c r="J15" s="3">
        <f t="shared" si="0"/>
        <v>900</v>
      </c>
      <c r="K15" s="3">
        <f t="shared" si="1"/>
        <v>285</v>
      </c>
      <c r="L15" s="3">
        <f t="shared" si="2"/>
        <v>205</v>
      </c>
      <c r="M15">
        <f t="shared" si="3"/>
        <v>114.8</v>
      </c>
      <c r="N15">
        <f t="shared" si="4"/>
        <v>98.399999999999991</v>
      </c>
      <c r="O15">
        <f t="shared" si="5"/>
        <v>77.900000000000006</v>
      </c>
      <c r="P15">
        <f t="shared" si="6"/>
        <v>230.5</v>
      </c>
      <c r="Q15">
        <f t="shared" si="7"/>
        <v>86.100000000000009</v>
      </c>
      <c r="R15">
        <f t="shared" si="8"/>
        <v>131.19999999999999</v>
      </c>
      <c r="T15">
        <f t="shared" si="9"/>
        <v>293.80049999999994</v>
      </c>
      <c r="U15">
        <f t="shared" si="10"/>
        <v>1842.8475000000003</v>
      </c>
      <c r="V15">
        <f t="shared" si="11"/>
        <v>396.92100000000005</v>
      </c>
      <c r="W15">
        <f t="shared" si="12"/>
        <v>196.79999999999998</v>
      </c>
      <c r="X15">
        <f t="shared" si="13"/>
        <v>85.5</v>
      </c>
      <c r="Y15">
        <f t="shared" si="14"/>
        <v>2815</v>
      </c>
    </row>
    <row r="16" spans="1:27" ht="15.75" customHeight="1" x14ac:dyDescent="0.3">
      <c r="A16">
        <v>12</v>
      </c>
      <c r="B16" t="s">
        <v>62</v>
      </c>
      <c r="C16" t="s">
        <v>60</v>
      </c>
      <c r="D16">
        <v>5933</v>
      </c>
      <c r="E16">
        <f t="shared" si="15"/>
        <v>86</v>
      </c>
      <c r="F16">
        <f t="shared" si="16"/>
        <v>43</v>
      </c>
      <c r="G16">
        <f t="shared" si="17"/>
        <v>43</v>
      </c>
      <c r="H16">
        <f t="shared" si="18"/>
        <v>56</v>
      </c>
      <c r="J16" s="3">
        <f t="shared" si="0"/>
        <v>940</v>
      </c>
      <c r="K16" s="3">
        <f t="shared" si="1"/>
        <v>295</v>
      </c>
      <c r="L16" s="3">
        <f t="shared" si="2"/>
        <v>215</v>
      </c>
      <c r="M16">
        <f t="shared" si="3"/>
        <v>120.39999999999999</v>
      </c>
      <c r="N16">
        <f t="shared" si="4"/>
        <v>103.2</v>
      </c>
      <c r="O16">
        <f t="shared" si="5"/>
        <v>81.7</v>
      </c>
      <c r="P16">
        <f t="shared" si="6"/>
        <v>233.5</v>
      </c>
      <c r="Q16">
        <f t="shared" si="7"/>
        <v>90.3</v>
      </c>
      <c r="R16">
        <f t="shared" si="8"/>
        <v>137.6</v>
      </c>
      <c r="T16">
        <f t="shared" si="9"/>
        <v>308.07090000000005</v>
      </c>
      <c r="U16">
        <f t="shared" si="10"/>
        <v>1957.8975</v>
      </c>
      <c r="V16">
        <f t="shared" si="11"/>
        <v>421.70099999999996</v>
      </c>
      <c r="W16">
        <f t="shared" si="12"/>
        <v>206.39999999999998</v>
      </c>
      <c r="X16">
        <f t="shared" si="13"/>
        <v>88.5</v>
      </c>
      <c r="Y16">
        <f t="shared" si="14"/>
        <v>2982</v>
      </c>
    </row>
    <row r="17" spans="1:25" ht="15.75" customHeight="1" x14ac:dyDescent="0.3">
      <c r="A17">
        <v>13</v>
      </c>
      <c r="B17" t="s">
        <v>63</v>
      </c>
      <c r="C17" t="s">
        <v>60</v>
      </c>
      <c r="D17">
        <v>6900</v>
      </c>
      <c r="E17">
        <f t="shared" si="15"/>
        <v>90</v>
      </c>
      <c r="F17">
        <f t="shared" si="16"/>
        <v>45</v>
      </c>
      <c r="G17">
        <f t="shared" si="17"/>
        <v>45</v>
      </c>
      <c r="H17">
        <f t="shared" si="18"/>
        <v>57</v>
      </c>
      <c r="I17" s="1"/>
      <c r="J17" s="3">
        <f t="shared" si="0"/>
        <v>980</v>
      </c>
      <c r="K17" s="3">
        <f t="shared" si="1"/>
        <v>305</v>
      </c>
      <c r="L17" s="3">
        <f t="shared" si="2"/>
        <v>225</v>
      </c>
      <c r="M17">
        <f t="shared" si="3"/>
        <v>125.99999999999999</v>
      </c>
      <c r="N17">
        <f t="shared" si="4"/>
        <v>108</v>
      </c>
      <c r="O17">
        <f t="shared" si="5"/>
        <v>85.5</v>
      </c>
      <c r="P17">
        <f t="shared" si="6"/>
        <v>236.5</v>
      </c>
      <c r="Q17">
        <f t="shared" si="7"/>
        <v>94.5</v>
      </c>
      <c r="R17">
        <f t="shared" si="8"/>
        <v>144</v>
      </c>
      <c r="T17">
        <f t="shared" si="9"/>
        <v>322.44450000000001</v>
      </c>
      <c r="U17">
        <f t="shared" si="10"/>
        <v>2075.2874999999999</v>
      </c>
      <c r="V17">
        <f t="shared" si="11"/>
        <v>446.98500000000001</v>
      </c>
      <c r="W17">
        <f t="shared" si="12"/>
        <v>216</v>
      </c>
      <c r="X17">
        <f t="shared" si="13"/>
        <v>91.5</v>
      </c>
      <c r="Y17">
        <f t="shared" si="14"/>
        <v>3152</v>
      </c>
    </row>
    <row r="18" spans="1:25" ht="15.75" customHeight="1" x14ac:dyDescent="0.3">
      <c r="A18">
        <v>14</v>
      </c>
      <c r="B18" t="s">
        <v>64</v>
      </c>
      <c r="C18" t="s">
        <v>60</v>
      </c>
      <c r="D18">
        <v>8067</v>
      </c>
      <c r="E18">
        <f t="shared" si="15"/>
        <v>94</v>
      </c>
      <c r="F18">
        <f t="shared" si="16"/>
        <v>47</v>
      </c>
      <c r="G18">
        <f t="shared" si="17"/>
        <v>47</v>
      </c>
      <c r="H18">
        <f t="shared" si="18"/>
        <v>58</v>
      </c>
      <c r="I18" s="2"/>
      <c r="J18" s="3">
        <f t="shared" si="0"/>
        <v>1020</v>
      </c>
      <c r="K18" s="3">
        <f t="shared" si="1"/>
        <v>315</v>
      </c>
      <c r="L18" s="3">
        <f t="shared" si="2"/>
        <v>235</v>
      </c>
      <c r="M18">
        <f t="shared" si="3"/>
        <v>131.6</v>
      </c>
      <c r="N18">
        <f t="shared" si="4"/>
        <v>112.8</v>
      </c>
      <c r="O18">
        <f t="shared" si="5"/>
        <v>89.300000000000011</v>
      </c>
      <c r="P18">
        <f t="shared" si="6"/>
        <v>239.5</v>
      </c>
      <c r="Q18">
        <f t="shared" si="7"/>
        <v>98.7</v>
      </c>
      <c r="R18">
        <f t="shared" si="8"/>
        <v>150.4</v>
      </c>
      <c r="T18">
        <f t="shared" si="9"/>
        <v>336.92130000000003</v>
      </c>
      <c r="U18">
        <f t="shared" si="10"/>
        <v>2195.0174999999999</v>
      </c>
      <c r="V18">
        <f t="shared" si="11"/>
        <v>472.77300000000002</v>
      </c>
      <c r="W18">
        <f t="shared" si="12"/>
        <v>225.60000000000002</v>
      </c>
      <c r="X18">
        <f t="shared" si="13"/>
        <v>94.5</v>
      </c>
      <c r="Y18">
        <f t="shared" si="14"/>
        <v>3324</v>
      </c>
    </row>
    <row r="19" spans="1:25" ht="15.75" customHeight="1" x14ac:dyDescent="0.3">
      <c r="A19">
        <v>15</v>
      </c>
      <c r="B19" t="s">
        <v>65</v>
      </c>
      <c r="C19" t="s">
        <v>60</v>
      </c>
      <c r="D19">
        <v>9233</v>
      </c>
      <c r="E19">
        <f t="shared" si="15"/>
        <v>98</v>
      </c>
      <c r="F19">
        <f t="shared" si="16"/>
        <v>49</v>
      </c>
      <c r="G19">
        <f t="shared" si="17"/>
        <v>49</v>
      </c>
      <c r="H19">
        <f t="shared" si="18"/>
        <v>59</v>
      </c>
      <c r="I19" s="2"/>
      <c r="J19" s="3">
        <f t="shared" si="0"/>
        <v>1060</v>
      </c>
      <c r="K19" s="3">
        <f t="shared" si="1"/>
        <v>325</v>
      </c>
      <c r="L19" s="3">
        <f t="shared" si="2"/>
        <v>245</v>
      </c>
      <c r="M19">
        <f t="shared" si="3"/>
        <v>137.19999999999999</v>
      </c>
      <c r="N19">
        <f t="shared" si="4"/>
        <v>117.6</v>
      </c>
      <c r="O19">
        <f t="shared" si="5"/>
        <v>93.100000000000009</v>
      </c>
      <c r="P19">
        <f t="shared" si="6"/>
        <v>242.5</v>
      </c>
      <c r="Q19">
        <f t="shared" si="7"/>
        <v>102.9</v>
      </c>
      <c r="R19">
        <f t="shared" si="8"/>
        <v>156.80000000000001</v>
      </c>
      <c r="T19">
        <f t="shared" si="9"/>
        <v>351.50130000000001</v>
      </c>
      <c r="U19">
        <f t="shared" si="10"/>
        <v>2317.0875000000001</v>
      </c>
      <c r="V19">
        <f t="shared" si="11"/>
        <v>499.065</v>
      </c>
      <c r="W19">
        <f t="shared" si="12"/>
        <v>235.20000000000002</v>
      </c>
      <c r="X19">
        <f t="shared" si="13"/>
        <v>97.5</v>
      </c>
      <c r="Y19">
        <f t="shared" si="14"/>
        <v>3500</v>
      </c>
    </row>
    <row r="20" spans="1:25" ht="15.75" customHeight="1" x14ac:dyDescent="0.3">
      <c r="A20">
        <v>16</v>
      </c>
      <c r="B20" t="s">
        <v>66</v>
      </c>
      <c r="C20" t="s">
        <v>60</v>
      </c>
      <c r="D20">
        <v>10400</v>
      </c>
      <c r="E20">
        <f t="shared" si="15"/>
        <v>102</v>
      </c>
      <c r="F20">
        <f t="shared" si="16"/>
        <v>51</v>
      </c>
      <c r="G20">
        <f t="shared" si="17"/>
        <v>51</v>
      </c>
      <c r="H20">
        <f t="shared" si="18"/>
        <v>60</v>
      </c>
      <c r="I20" s="2"/>
      <c r="J20" s="3">
        <f t="shared" si="0"/>
        <v>1100</v>
      </c>
      <c r="K20" s="3">
        <f t="shared" si="1"/>
        <v>335</v>
      </c>
      <c r="L20" s="3">
        <f t="shared" si="2"/>
        <v>255</v>
      </c>
      <c r="M20">
        <f t="shared" si="3"/>
        <v>142.80000000000001</v>
      </c>
      <c r="N20">
        <f t="shared" si="4"/>
        <v>122.39999999999999</v>
      </c>
      <c r="O20">
        <f t="shared" si="5"/>
        <v>96.9</v>
      </c>
      <c r="P20">
        <f t="shared" si="6"/>
        <v>245.5</v>
      </c>
      <c r="Q20">
        <f t="shared" si="7"/>
        <v>107.10000000000001</v>
      </c>
      <c r="R20">
        <f t="shared" si="8"/>
        <v>163.19999999999999</v>
      </c>
      <c r="T20">
        <f t="shared" si="9"/>
        <v>366.18450000000001</v>
      </c>
      <c r="U20">
        <f t="shared" si="10"/>
        <v>2441.4974999999999</v>
      </c>
      <c r="V20">
        <f t="shared" si="11"/>
        <v>525.8610000000001</v>
      </c>
      <c r="W20">
        <f t="shared" si="12"/>
        <v>244.79999999999998</v>
      </c>
      <c r="X20">
        <f t="shared" si="13"/>
        <v>100.5</v>
      </c>
      <c r="Y20">
        <f t="shared" si="14"/>
        <v>3678</v>
      </c>
    </row>
    <row r="21" spans="1:25" ht="15.75" customHeight="1" x14ac:dyDescent="0.3">
      <c r="A21">
        <v>17</v>
      </c>
      <c r="B21" t="s">
        <v>67</v>
      </c>
      <c r="C21" t="s">
        <v>60</v>
      </c>
      <c r="D21">
        <v>13025</v>
      </c>
      <c r="E21">
        <f t="shared" si="15"/>
        <v>106</v>
      </c>
      <c r="F21">
        <f t="shared" si="16"/>
        <v>53</v>
      </c>
      <c r="G21">
        <f t="shared" si="17"/>
        <v>53</v>
      </c>
      <c r="H21">
        <f t="shared" si="18"/>
        <v>61</v>
      </c>
      <c r="I21" s="2"/>
      <c r="J21" s="3">
        <f t="shared" si="0"/>
        <v>1140</v>
      </c>
      <c r="K21" s="3">
        <f t="shared" si="1"/>
        <v>345</v>
      </c>
      <c r="L21" s="3">
        <f t="shared" si="2"/>
        <v>265</v>
      </c>
      <c r="M21">
        <f t="shared" si="3"/>
        <v>148.39999999999998</v>
      </c>
      <c r="N21">
        <f t="shared" si="4"/>
        <v>127.19999999999999</v>
      </c>
      <c r="O21">
        <f t="shared" si="5"/>
        <v>100.70000000000002</v>
      </c>
      <c r="P21">
        <f t="shared" si="6"/>
        <v>248.5</v>
      </c>
      <c r="Q21">
        <f t="shared" si="7"/>
        <v>111.30000000000001</v>
      </c>
      <c r="R21">
        <f t="shared" si="8"/>
        <v>169.6</v>
      </c>
      <c r="T21">
        <f t="shared" si="9"/>
        <v>380.97089999999997</v>
      </c>
      <c r="U21">
        <f t="shared" si="10"/>
        <v>2568.2474999999999</v>
      </c>
      <c r="V21">
        <f t="shared" si="11"/>
        <v>553.16100000000006</v>
      </c>
      <c r="W21">
        <f t="shared" si="12"/>
        <v>254.39999999999998</v>
      </c>
      <c r="X21">
        <f t="shared" si="13"/>
        <v>103.5</v>
      </c>
      <c r="Y21">
        <f t="shared" si="14"/>
        <v>3860</v>
      </c>
    </row>
    <row r="22" spans="1:25" ht="15.75" customHeight="1" x14ac:dyDescent="0.3">
      <c r="A22">
        <v>18</v>
      </c>
      <c r="B22" t="s">
        <v>68</v>
      </c>
      <c r="C22" t="s">
        <v>60</v>
      </c>
      <c r="D22">
        <v>15650</v>
      </c>
      <c r="E22">
        <f t="shared" si="15"/>
        <v>110</v>
      </c>
      <c r="F22">
        <f t="shared" si="16"/>
        <v>55</v>
      </c>
      <c r="G22">
        <f t="shared" si="17"/>
        <v>55</v>
      </c>
      <c r="H22">
        <f t="shared" si="18"/>
        <v>62</v>
      </c>
      <c r="I22" s="2"/>
      <c r="J22" s="3">
        <f t="shared" si="0"/>
        <v>1180</v>
      </c>
      <c r="K22" s="3">
        <f t="shared" si="1"/>
        <v>355</v>
      </c>
      <c r="L22" s="3">
        <f t="shared" si="2"/>
        <v>275</v>
      </c>
      <c r="M22">
        <f t="shared" si="3"/>
        <v>154</v>
      </c>
      <c r="N22">
        <f t="shared" si="4"/>
        <v>132</v>
      </c>
      <c r="O22">
        <f t="shared" si="5"/>
        <v>104.5</v>
      </c>
      <c r="P22">
        <f t="shared" si="6"/>
        <v>251.5</v>
      </c>
      <c r="Q22">
        <f t="shared" si="7"/>
        <v>115.5</v>
      </c>
      <c r="R22">
        <f t="shared" si="8"/>
        <v>176</v>
      </c>
      <c r="T22">
        <f t="shared" si="9"/>
        <v>395.86049999999994</v>
      </c>
      <c r="U22">
        <f t="shared" si="10"/>
        <v>2697.3374999999996</v>
      </c>
      <c r="V22">
        <f t="shared" si="11"/>
        <v>580.96500000000003</v>
      </c>
      <c r="W22">
        <f t="shared" si="12"/>
        <v>264</v>
      </c>
      <c r="X22">
        <f t="shared" si="13"/>
        <v>106.5</v>
      </c>
      <c r="Y22">
        <f t="shared" si="14"/>
        <v>4044</v>
      </c>
    </row>
    <row r="23" spans="1:25" ht="15.75" customHeight="1" x14ac:dyDescent="0.3">
      <c r="A23">
        <v>19</v>
      </c>
      <c r="B23" t="s">
        <v>69</v>
      </c>
      <c r="C23" t="s">
        <v>60</v>
      </c>
      <c r="D23">
        <v>18275</v>
      </c>
      <c r="E23">
        <f t="shared" si="15"/>
        <v>114</v>
      </c>
      <c r="F23">
        <f t="shared" si="16"/>
        <v>57</v>
      </c>
      <c r="G23">
        <f t="shared" si="17"/>
        <v>57</v>
      </c>
      <c r="H23">
        <f t="shared" si="18"/>
        <v>63</v>
      </c>
      <c r="I23" s="2"/>
      <c r="J23" s="3">
        <f t="shared" si="0"/>
        <v>1220</v>
      </c>
      <c r="K23" s="3">
        <f t="shared" si="1"/>
        <v>365</v>
      </c>
      <c r="L23" s="3">
        <f t="shared" si="2"/>
        <v>285</v>
      </c>
      <c r="M23">
        <f t="shared" si="3"/>
        <v>159.6</v>
      </c>
      <c r="N23">
        <f t="shared" si="4"/>
        <v>136.79999999999998</v>
      </c>
      <c r="O23">
        <f t="shared" si="5"/>
        <v>108.30000000000001</v>
      </c>
      <c r="P23">
        <f t="shared" si="6"/>
        <v>254.5</v>
      </c>
      <c r="Q23">
        <f t="shared" si="7"/>
        <v>119.7</v>
      </c>
      <c r="R23">
        <f t="shared" si="8"/>
        <v>182.39999999999998</v>
      </c>
      <c r="T23">
        <f t="shared" si="9"/>
        <v>410.85329999999999</v>
      </c>
      <c r="U23">
        <f t="shared" si="10"/>
        <v>2828.7674999999999</v>
      </c>
      <c r="V23">
        <f t="shared" si="11"/>
        <v>609.27300000000002</v>
      </c>
      <c r="W23">
        <f t="shared" si="12"/>
        <v>273.59999999999997</v>
      </c>
      <c r="X23">
        <f t="shared" si="13"/>
        <v>109.5</v>
      </c>
      <c r="Y23">
        <f t="shared" si="14"/>
        <v>4231</v>
      </c>
    </row>
    <row r="24" spans="1:25" ht="15.75" customHeight="1" x14ac:dyDescent="0.3">
      <c r="A24">
        <v>20</v>
      </c>
      <c r="B24" t="s">
        <v>70</v>
      </c>
      <c r="C24" t="s">
        <v>71</v>
      </c>
      <c r="D24">
        <v>20900</v>
      </c>
      <c r="E24">
        <f>E23*2.5</f>
        <v>285</v>
      </c>
      <c r="F24">
        <f>F23*2.5</f>
        <v>142.5</v>
      </c>
      <c r="G24">
        <f>G23*2.5</f>
        <v>142.5</v>
      </c>
      <c r="H24">
        <f>H23*2.5</f>
        <v>157.5</v>
      </c>
      <c r="I24" s="2"/>
      <c r="J24" s="3">
        <f t="shared" si="0"/>
        <v>2930</v>
      </c>
      <c r="K24" s="3">
        <f t="shared" si="1"/>
        <v>792.5</v>
      </c>
      <c r="L24" s="3">
        <f t="shared" si="2"/>
        <v>712.5</v>
      </c>
      <c r="M24">
        <f t="shared" si="3"/>
        <v>399</v>
      </c>
      <c r="N24">
        <f t="shared" si="4"/>
        <v>342</v>
      </c>
      <c r="O24">
        <f t="shared" si="5"/>
        <v>270.75</v>
      </c>
      <c r="P24">
        <f t="shared" si="6"/>
        <v>486.25</v>
      </c>
      <c r="Q24">
        <f t="shared" si="7"/>
        <v>299.25</v>
      </c>
      <c r="R24">
        <f t="shared" si="8"/>
        <v>456</v>
      </c>
      <c r="T24">
        <f t="shared" si="9"/>
        <v>1148.303625</v>
      </c>
      <c r="U24">
        <f t="shared" si="10"/>
        <v>13511.671875</v>
      </c>
      <c r="V24">
        <f t="shared" si="11"/>
        <v>2910.2062500000002</v>
      </c>
      <c r="W24">
        <f t="shared" si="12"/>
        <v>684</v>
      </c>
      <c r="X24">
        <f t="shared" si="13"/>
        <v>237.75</v>
      </c>
      <c r="Y24">
        <f t="shared" si="14"/>
        <v>18491</v>
      </c>
    </row>
    <row r="25" spans="1:25" ht="15.75" customHeight="1" x14ac:dyDescent="0.3">
      <c r="A25">
        <v>21</v>
      </c>
      <c r="B25" t="s">
        <v>72</v>
      </c>
      <c r="C25" t="s">
        <v>71</v>
      </c>
      <c r="D25">
        <v>24667</v>
      </c>
      <c r="E25">
        <f t="shared" ref="E25:E33" si="19">E24+7</f>
        <v>292</v>
      </c>
      <c r="F25">
        <f t="shared" ref="F25:F33" si="20">F24+4</f>
        <v>146.5</v>
      </c>
      <c r="G25">
        <f t="shared" ref="G25:G33" si="21">G24+4</f>
        <v>146.5</v>
      </c>
      <c r="H25">
        <f t="shared" ref="H25:H33" si="22">H24+4</f>
        <v>161.5</v>
      </c>
      <c r="I25" s="2"/>
      <c r="J25" s="3">
        <f t="shared" si="0"/>
        <v>3000</v>
      </c>
      <c r="K25" s="3">
        <f t="shared" si="1"/>
        <v>812.5</v>
      </c>
      <c r="L25" s="3">
        <f t="shared" si="2"/>
        <v>730</v>
      </c>
      <c r="M25">
        <f t="shared" si="3"/>
        <v>410.2</v>
      </c>
      <c r="N25">
        <f t="shared" si="4"/>
        <v>350.4</v>
      </c>
      <c r="O25">
        <f t="shared" si="5"/>
        <v>278.35000000000002</v>
      </c>
      <c r="P25">
        <f t="shared" si="6"/>
        <v>496.25</v>
      </c>
      <c r="Q25">
        <f t="shared" si="7"/>
        <v>307.64999999999998</v>
      </c>
      <c r="R25">
        <f t="shared" si="8"/>
        <v>467.79999999999995</v>
      </c>
      <c r="T25">
        <f t="shared" si="9"/>
        <v>1182.9375</v>
      </c>
      <c r="U25">
        <f t="shared" si="10"/>
        <v>14145.606250000001</v>
      </c>
      <c r="V25">
        <f t="shared" si="11"/>
        <v>3053.42625</v>
      </c>
      <c r="W25">
        <f t="shared" si="12"/>
        <v>701.69999999999993</v>
      </c>
      <c r="X25">
        <f t="shared" si="13"/>
        <v>243.75</v>
      </c>
      <c r="Y25">
        <f t="shared" si="14"/>
        <v>19327</v>
      </c>
    </row>
    <row r="26" spans="1:25" ht="15.75" customHeight="1" x14ac:dyDescent="0.3">
      <c r="A26">
        <v>22</v>
      </c>
      <c r="B26" t="s">
        <v>73</v>
      </c>
      <c r="C26" t="s">
        <v>71</v>
      </c>
      <c r="D26">
        <v>28433</v>
      </c>
      <c r="E26">
        <f t="shared" si="19"/>
        <v>299</v>
      </c>
      <c r="F26">
        <f t="shared" si="20"/>
        <v>150.5</v>
      </c>
      <c r="G26">
        <f t="shared" si="21"/>
        <v>150.5</v>
      </c>
      <c r="H26">
        <f t="shared" si="22"/>
        <v>165.5</v>
      </c>
      <c r="I26" s="2"/>
      <c r="J26" s="3">
        <f t="shared" si="0"/>
        <v>3070</v>
      </c>
      <c r="K26" s="3">
        <f t="shared" si="1"/>
        <v>832.5</v>
      </c>
      <c r="L26" s="3">
        <f t="shared" si="2"/>
        <v>747.5</v>
      </c>
      <c r="M26">
        <f t="shared" si="3"/>
        <v>421.4</v>
      </c>
      <c r="N26">
        <f t="shared" si="4"/>
        <v>358.8</v>
      </c>
      <c r="O26">
        <f t="shared" si="5"/>
        <v>285.95000000000005</v>
      </c>
      <c r="P26">
        <f t="shared" si="6"/>
        <v>506.25</v>
      </c>
      <c r="Q26">
        <f t="shared" si="7"/>
        <v>316.05</v>
      </c>
      <c r="R26">
        <f t="shared" si="8"/>
        <v>479.6</v>
      </c>
      <c r="T26">
        <f t="shared" si="9"/>
        <v>1217.907375</v>
      </c>
      <c r="U26">
        <f t="shared" si="10"/>
        <v>14793.890625</v>
      </c>
      <c r="V26">
        <f t="shared" si="11"/>
        <v>3200.0062499999999</v>
      </c>
      <c r="W26">
        <f t="shared" si="12"/>
        <v>719.40000000000009</v>
      </c>
      <c r="X26">
        <f t="shared" si="13"/>
        <v>249.75</v>
      </c>
      <c r="Y26">
        <f t="shared" si="14"/>
        <v>20180</v>
      </c>
    </row>
    <row r="27" spans="1:25" ht="15.75" customHeight="1" x14ac:dyDescent="0.3">
      <c r="A27">
        <v>23</v>
      </c>
      <c r="B27" t="s">
        <v>74</v>
      </c>
      <c r="C27" t="s">
        <v>71</v>
      </c>
      <c r="D27">
        <v>32200</v>
      </c>
      <c r="E27">
        <f t="shared" si="19"/>
        <v>306</v>
      </c>
      <c r="F27">
        <f t="shared" si="20"/>
        <v>154.5</v>
      </c>
      <c r="G27">
        <f t="shared" si="21"/>
        <v>154.5</v>
      </c>
      <c r="H27">
        <f t="shared" si="22"/>
        <v>169.5</v>
      </c>
      <c r="I27" s="2"/>
      <c r="J27" s="3">
        <f t="shared" si="0"/>
        <v>3140</v>
      </c>
      <c r="K27" s="3">
        <f t="shared" si="1"/>
        <v>852.5</v>
      </c>
      <c r="L27" s="3">
        <f t="shared" si="2"/>
        <v>765</v>
      </c>
      <c r="M27">
        <f t="shared" si="3"/>
        <v>432.59999999999997</v>
      </c>
      <c r="N27">
        <f t="shared" si="4"/>
        <v>367.2</v>
      </c>
      <c r="O27">
        <f t="shared" si="5"/>
        <v>293.55</v>
      </c>
      <c r="P27">
        <f t="shared" si="6"/>
        <v>516.25</v>
      </c>
      <c r="Q27">
        <f t="shared" si="7"/>
        <v>324.45000000000005</v>
      </c>
      <c r="R27">
        <f t="shared" si="8"/>
        <v>491.4</v>
      </c>
      <c r="T27">
        <f t="shared" si="9"/>
        <v>1253.21325</v>
      </c>
      <c r="U27">
        <f t="shared" si="10"/>
        <v>15456.525</v>
      </c>
      <c r="V27">
        <f t="shared" si="11"/>
        <v>3349.9462500000004</v>
      </c>
      <c r="W27">
        <f t="shared" si="12"/>
        <v>737.09999999999991</v>
      </c>
      <c r="X27">
        <f t="shared" si="13"/>
        <v>255.75</v>
      </c>
      <c r="Y27">
        <f t="shared" si="14"/>
        <v>21052</v>
      </c>
    </row>
    <row r="28" spans="1:25" ht="15.75" customHeight="1" x14ac:dyDescent="0.3">
      <c r="A28">
        <v>24</v>
      </c>
      <c r="B28" t="s">
        <v>75</v>
      </c>
      <c r="C28" t="s">
        <v>71</v>
      </c>
      <c r="D28">
        <v>36267</v>
      </c>
      <c r="E28">
        <f t="shared" si="19"/>
        <v>313</v>
      </c>
      <c r="F28">
        <f t="shared" si="20"/>
        <v>158.5</v>
      </c>
      <c r="G28">
        <f t="shared" si="21"/>
        <v>158.5</v>
      </c>
      <c r="H28">
        <f t="shared" si="22"/>
        <v>173.5</v>
      </c>
      <c r="I28" s="2"/>
      <c r="J28" s="3">
        <f t="shared" si="0"/>
        <v>3210</v>
      </c>
      <c r="K28" s="3">
        <f t="shared" si="1"/>
        <v>872.5</v>
      </c>
      <c r="L28" s="3">
        <f t="shared" si="2"/>
        <v>782.5</v>
      </c>
      <c r="M28">
        <f t="shared" si="3"/>
        <v>443.79999999999995</v>
      </c>
      <c r="N28">
        <f t="shared" si="4"/>
        <v>375.59999999999997</v>
      </c>
      <c r="O28">
        <f t="shared" si="5"/>
        <v>301.15000000000003</v>
      </c>
      <c r="P28">
        <f t="shared" si="6"/>
        <v>526.25</v>
      </c>
      <c r="Q28">
        <f t="shared" si="7"/>
        <v>332.85</v>
      </c>
      <c r="R28">
        <f t="shared" si="8"/>
        <v>503.2</v>
      </c>
      <c r="T28">
        <f t="shared" si="9"/>
        <v>1288.855125</v>
      </c>
      <c r="U28">
        <f t="shared" si="10"/>
        <v>16133.509375000001</v>
      </c>
      <c r="V28">
        <f t="shared" si="11"/>
        <v>3503.2462500000001</v>
      </c>
      <c r="W28">
        <f t="shared" si="12"/>
        <v>754.8</v>
      </c>
      <c r="X28">
        <f t="shared" si="13"/>
        <v>261.75</v>
      </c>
      <c r="Y28">
        <f t="shared" si="14"/>
        <v>21942</v>
      </c>
    </row>
    <row r="29" spans="1:25" ht="15.75" customHeight="1" x14ac:dyDescent="0.3">
      <c r="A29">
        <v>25</v>
      </c>
      <c r="B29" t="s">
        <v>76</v>
      </c>
      <c r="C29" t="s">
        <v>71</v>
      </c>
      <c r="D29">
        <v>40333</v>
      </c>
      <c r="E29">
        <f t="shared" si="19"/>
        <v>320</v>
      </c>
      <c r="F29">
        <f t="shared" si="20"/>
        <v>162.5</v>
      </c>
      <c r="G29">
        <f t="shared" si="21"/>
        <v>162.5</v>
      </c>
      <c r="H29">
        <f t="shared" si="22"/>
        <v>177.5</v>
      </c>
      <c r="J29" s="3">
        <f t="shared" si="0"/>
        <v>3280</v>
      </c>
      <c r="K29" s="3">
        <f t="shared" si="1"/>
        <v>892.5</v>
      </c>
      <c r="L29" s="3">
        <f t="shared" si="2"/>
        <v>800</v>
      </c>
      <c r="M29">
        <f t="shared" si="3"/>
        <v>454.99999999999994</v>
      </c>
      <c r="N29">
        <f t="shared" si="4"/>
        <v>384</v>
      </c>
      <c r="O29">
        <f t="shared" si="5"/>
        <v>308.75</v>
      </c>
      <c r="P29">
        <f t="shared" si="6"/>
        <v>536.25</v>
      </c>
      <c r="Q29">
        <f t="shared" si="7"/>
        <v>341.25</v>
      </c>
      <c r="R29">
        <f t="shared" si="8"/>
        <v>515</v>
      </c>
      <c r="T29">
        <f t="shared" si="9"/>
        <v>1324.8329999999999</v>
      </c>
      <c r="U29">
        <f t="shared" si="10"/>
        <v>16824.84375</v>
      </c>
      <c r="V29">
        <f t="shared" si="11"/>
        <v>3659.90625</v>
      </c>
      <c r="W29">
        <f t="shared" si="12"/>
        <v>772.5</v>
      </c>
      <c r="X29">
        <f t="shared" si="13"/>
        <v>267.75</v>
      </c>
      <c r="Y29">
        <f t="shared" si="14"/>
        <v>22849</v>
      </c>
    </row>
    <row r="30" spans="1:25" ht="15.75" customHeight="1" x14ac:dyDescent="0.3">
      <c r="A30">
        <v>26</v>
      </c>
      <c r="B30" t="s">
        <v>77</v>
      </c>
      <c r="C30" t="s">
        <v>71</v>
      </c>
      <c r="D30">
        <v>44400</v>
      </c>
      <c r="E30">
        <f t="shared" si="19"/>
        <v>327</v>
      </c>
      <c r="F30">
        <f t="shared" si="20"/>
        <v>166.5</v>
      </c>
      <c r="G30">
        <f t="shared" si="21"/>
        <v>166.5</v>
      </c>
      <c r="H30">
        <f t="shared" si="22"/>
        <v>181.5</v>
      </c>
      <c r="J30" s="3">
        <f t="shared" si="0"/>
        <v>3350</v>
      </c>
      <c r="K30" s="3">
        <f t="shared" si="1"/>
        <v>912.5</v>
      </c>
      <c r="L30" s="3">
        <f t="shared" si="2"/>
        <v>817.5</v>
      </c>
      <c r="M30">
        <f t="shared" si="3"/>
        <v>466.2</v>
      </c>
      <c r="N30">
        <f t="shared" si="4"/>
        <v>392.4</v>
      </c>
      <c r="O30">
        <f t="shared" si="5"/>
        <v>316.35000000000002</v>
      </c>
      <c r="P30">
        <f t="shared" si="6"/>
        <v>546.25</v>
      </c>
      <c r="Q30">
        <f t="shared" si="7"/>
        <v>349.65000000000003</v>
      </c>
      <c r="R30">
        <f t="shared" si="8"/>
        <v>526.79999999999995</v>
      </c>
      <c r="T30">
        <f t="shared" si="9"/>
        <v>1361.1468749999999</v>
      </c>
      <c r="U30">
        <f t="shared" si="10"/>
        <v>17530.528125000001</v>
      </c>
      <c r="V30">
        <f t="shared" si="11"/>
        <v>3819.9262500000004</v>
      </c>
      <c r="W30">
        <f t="shared" si="12"/>
        <v>790.19999999999993</v>
      </c>
      <c r="X30">
        <f t="shared" si="13"/>
        <v>273.75</v>
      </c>
      <c r="Y30">
        <f t="shared" si="14"/>
        <v>23775</v>
      </c>
    </row>
    <row r="31" spans="1:25" ht="15.75" customHeight="1" x14ac:dyDescent="0.3">
      <c r="A31">
        <v>27</v>
      </c>
      <c r="B31" t="s">
        <v>78</v>
      </c>
      <c r="C31" t="s">
        <v>71</v>
      </c>
      <c r="D31">
        <v>53550</v>
      </c>
      <c r="E31">
        <f t="shared" si="19"/>
        <v>334</v>
      </c>
      <c r="F31">
        <f t="shared" si="20"/>
        <v>170.5</v>
      </c>
      <c r="G31">
        <f t="shared" si="21"/>
        <v>170.5</v>
      </c>
      <c r="H31">
        <f t="shared" si="22"/>
        <v>185.5</v>
      </c>
      <c r="J31" s="3">
        <f t="shared" si="0"/>
        <v>3420</v>
      </c>
      <c r="K31" s="3">
        <f t="shared" si="1"/>
        <v>932.5</v>
      </c>
      <c r="L31" s="3">
        <f t="shared" si="2"/>
        <v>835</v>
      </c>
      <c r="M31">
        <f t="shared" si="3"/>
        <v>477.4</v>
      </c>
      <c r="N31">
        <f t="shared" si="4"/>
        <v>400.8</v>
      </c>
      <c r="O31">
        <f t="shared" si="5"/>
        <v>323.95000000000005</v>
      </c>
      <c r="P31">
        <f t="shared" si="6"/>
        <v>556.25</v>
      </c>
      <c r="Q31">
        <f t="shared" si="7"/>
        <v>358.05</v>
      </c>
      <c r="R31">
        <f t="shared" si="8"/>
        <v>538.6</v>
      </c>
      <c r="T31">
        <f t="shared" si="9"/>
        <v>1397.7967499999997</v>
      </c>
      <c r="U31">
        <f t="shared" si="10"/>
        <v>18250.5625</v>
      </c>
      <c r="V31">
        <f t="shared" si="11"/>
        <v>3983.3062500000001</v>
      </c>
      <c r="W31">
        <f t="shared" si="12"/>
        <v>807.90000000000009</v>
      </c>
      <c r="X31">
        <f t="shared" si="13"/>
        <v>279.75</v>
      </c>
      <c r="Y31">
        <f t="shared" si="14"/>
        <v>24719</v>
      </c>
    </row>
    <row r="32" spans="1:25" ht="15.75" customHeight="1" x14ac:dyDescent="0.3">
      <c r="A32">
        <v>28</v>
      </c>
      <c r="B32" t="s">
        <v>79</v>
      </c>
      <c r="C32" t="s">
        <v>71</v>
      </c>
      <c r="D32">
        <v>62700</v>
      </c>
      <c r="E32">
        <f t="shared" si="19"/>
        <v>341</v>
      </c>
      <c r="F32">
        <f t="shared" si="20"/>
        <v>174.5</v>
      </c>
      <c r="G32">
        <f t="shared" si="21"/>
        <v>174.5</v>
      </c>
      <c r="H32">
        <f t="shared" si="22"/>
        <v>189.5</v>
      </c>
      <c r="J32" s="3">
        <f t="shared" si="0"/>
        <v>3490</v>
      </c>
      <c r="K32" s="3">
        <f t="shared" si="1"/>
        <v>952.5</v>
      </c>
      <c r="L32" s="3">
        <f t="shared" si="2"/>
        <v>852.5</v>
      </c>
      <c r="M32">
        <f t="shared" si="3"/>
        <v>488.59999999999997</v>
      </c>
      <c r="N32">
        <f t="shared" si="4"/>
        <v>409.2</v>
      </c>
      <c r="O32">
        <f t="shared" si="5"/>
        <v>331.55</v>
      </c>
      <c r="P32">
        <f t="shared" si="6"/>
        <v>566.25</v>
      </c>
      <c r="Q32">
        <f t="shared" si="7"/>
        <v>366.45</v>
      </c>
      <c r="R32">
        <f t="shared" si="8"/>
        <v>550.4</v>
      </c>
      <c r="T32">
        <f t="shared" si="9"/>
        <v>1434.7826250000001</v>
      </c>
      <c r="U32">
        <f t="shared" si="10"/>
        <v>18984.946875000001</v>
      </c>
      <c r="V32">
        <f t="shared" si="11"/>
        <v>4150.0462500000003</v>
      </c>
      <c r="W32">
        <f t="shared" si="12"/>
        <v>825.59999999999991</v>
      </c>
      <c r="X32">
        <f t="shared" si="13"/>
        <v>285.75</v>
      </c>
      <c r="Y32">
        <f t="shared" si="14"/>
        <v>25681</v>
      </c>
    </row>
    <row r="33" spans="1:25" ht="15.75" customHeight="1" x14ac:dyDescent="0.3">
      <c r="A33">
        <v>29</v>
      </c>
      <c r="B33" t="s">
        <v>80</v>
      </c>
      <c r="C33" t="s">
        <v>71</v>
      </c>
      <c r="D33">
        <v>71850</v>
      </c>
      <c r="E33">
        <f t="shared" si="19"/>
        <v>348</v>
      </c>
      <c r="F33">
        <f t="shared" si="20"/>
        <v>178.5</v>
      </c>
      <c r="G33">
        <f t="shared" si="21"/>
        <v>178.5</v>
      </c>
      <c r="H33">
        <f t="shared" si="22"/>
        <v>193.5</v>
      </c>
      <c r="J33" s="3">
        <f t="shared" si="0"/>
        <v>3560</v>
      </c>
      <c r="K33" s="3">
        <f t="shared" si="1"/>
        <v>972.5</v>
      </c>
      <c r="L33" s="3">
        <f t="shared" si="2"/>
        <v>870</v>
      </c>
      <c r="M33">
        <f t="shared" si="3"/>
        <v>499.79999999999995</v>
      </c>
      <c r="N33">
        <f t="shared" si="4"/>
        <v>417.59999999999997</v>
      </c>
      <c r="O33">
        <f t="shared" si="5"/>
        <v>339.15000000000003</v>
      </c>
      <c r="P33">
        <f t="shared" si="6"/>
        <v>576.25</v>
      </c>
      <c r="Q33">
        <f t="shared" si="7"/>
        <v>374.85</v>
      </c>
      <c r="R33">
        <f t="shared" si="8"/>
        <v>562.20000000000005</v>
      </c>
      <c r="T33">
        <f t="shared" si="9"/>
        <v>1472.1045000000001</v>
      </c>
      <c r="U33">
        <f t="shared" si="10"/>
        <v>19733.681250000001</v>
      </c>
      <c r="V33">
        <f t="shared" si="11"/>
        <v>4320.1462499999998</v>
      </c>
      <c r="W33">
        <f t="shared" si="12"/>
        <v>843.30000000000007</v>
      </c>
      <c r="X33">
        <f t="shared" si="13"/>
        <v>291.75</v>
      </c>
      <c r="Y33">
        <f t="shared" si="14"/>
        <v>26660</v>
      </c>
    </row>
    <row r="34" spans="1:25" ht="15.75" customHeight="1" x14ac:dyDescent="0.3">
      <c r="A34">
        <v>30</v>
      </c>
      <c r="B34" t="s">
        <v>81</v>
      </c>
      <c r="C34" t="s">
        <v>82</v>
      </c>
      <c r="D34">
        <v>81000</v>
      </c>
      <c r="E34">
        <f>E33*2</f>
        <v>696</v>
      </c>
      <c r="F34">
        <f>F33*2</f>
        <v>357</v>
      </c>
      <c r="G34">
        <f>G33*2</f>
        <v>357</v>
      </c>
      <c r="H34">
        <f>H33*2</f>
        <v>387</v>
      </c>
      <c r="J34" s="3">
        <f t="shared" si="0"/>
        <v>7040</v>
      </c>
      <c r="K34" s="3">
        <f t="shared" si="1"/>
        <v>1865</v>
      </c>
      <c r="L34" s="3">
        <f t="shared" si="2"/>
        <v>1740</v>
      </c>
      <c r="M34">
        <f t="shared" si="3"/>
        <v>999.59999999999991</v>
      </c>
      <c r="N34">
        <f t="shared" si="4"/>
        <v>835.19999999999993</v>
      </c>
      <c r="O34">
        <f t="shared" si="5"/>
        <v>678.30000000000007</v>
      </c>
      <c r="P34">
        <f t="shared" si="6"/>
        <v>1052.5</v>
      </c>
      <c r="Q34">
        <f t="shared" si="7"/>
        <v>749.7</v>
      </c>
      <c r="R34">
        <f t="shared" si="8"/>
        <v>1124.4000000000001</v>
      </c>
      <c r="T34">
        <f t="shared" si="9"/>
        <v>3710.2559999999999</v>
      </c>
      <c r="U34">
        <f t="shared" si="10"/>
        <v>72085.725000000006</v>
      </c>
      <c r="V34">
        <f t="shared" si="11"/>
        <v>15781.184999999999</v>
      </c>
      <c r="W34">
        <f t="shared" si="12"/>
        <v>1686.6000000000001</v>
      </c>
      <c r="X34">
        <f t="shared" si="13"/>
        <v>559.5</v>
      </c>
      <c r="Y34">
        <f t="shared" si="14"/>
        <v>93823</v>
      </c>
    </row>
    <row r="35" spans="1:25" ht="15.75" customHeight="1" x14ac:dyDescent="0.3">
      <c r="A35">
        <v>31</v>
      </c>
      <c r="B35" t="s">
        <v>83</v>
      </c>
      <c r="C35" t="s">
        <v>82</v>
      </c>
      <c r="D35">
        <v>93567</v>
      </c>
      <c r="E35">
        <f t="shared" ref="E35:E43" si="23">E34+12</f>
        <v>708</v>
      </c>
      <c r="F35">
        <f t="shared" ref="F35:F43" si="24">F34+6</f>
        <v>363</v>
      </c>
      <c r="G35">
        <f t="shared" ref="G35:G43" si="25">G34+6</f>
        <v>363</v>
      </c>
      <c r="H35">
        <f t="shared" ref="H35:H43" si="26">H34+6</f>
        <v>393</v>
      </c>
      <c r="J35" s="3">
        <f t="shared" si="0"/>
        <v>7160</v>
      </c>
      <c r="K35" s="3">
        <f t="shared" si="1"/>
        <v>1895</v>
      </c>
      <c r="L35" s="3">
        <f t="shared" si="2"/>
        <v>1770</v>
      </c>
      <c r="M35">
        <f t="shared" si="3"/>
        <v>1016.4</v>
      </c>
      <c r="N35">
        <f t="shared" si="4"/>
        <v>849.6</v>
      </c>
      <c r="O35">
        <f t="shared" si="5"/>
        <v>689.7</v>
      </c>
      <c r="P35">
        <f t="shared" si="6"/>
        <v>1067.5</v>
      </c>
      <c r="Q35">
        <f t="shared" si="7"/>
        <v>762.30000000000007</v>
      </c>
      <c r="R35">
        <f t="shared" si="8"/>
        <v>1143.5999999999999</v>
      </c>
      <c r="T35">
        <f t="shared" si="9"/>
        <v>3801.2082</v>
      </c>
      <c r="U35">
        <f t="shared" si="10"/>
        <v>74362.05</v>
      </c>
      <c r="V35">
        <f t="shared" si="11"/>
        <v>16275.105000000003</v>
      </c>
      <c r="W35">
        <f t="shared" si="12"/>
        <v>1715.3999999999999</v>
      </c>
      <c r="X35">
        <f t="shared" si="13"/>
        <v>568.5</v>
      </c>
      <c r="Y35">
        <f t="shared" si="14"/>
        <v>96722</v>
      </c>
    </row>
    <row r="36" spans="1:25" ht="15.75" customHeight="1" x14ac:dyDescent="0.3">
      <c r="A36">
        <v>32</v>
      </c>
      <c r="B36" t="s">
        <v>84</v>
      </c>
      <c r="C36" t="s">
        <v>82</v>
      </c>
      <c r="D36">
        <v>106133</v>
      </c>
      <c r="E36">
        <f t="shared" si="23"/>
        <v>720</v>
      </c>
      <c r="F36">
        <f t="shared" si="24"/>
        <v>369</v>
      </c>
      <c r="G36">
        <f t="shared" si="25"/>
        <v>369</v>
      </c>
      <c r="H36">
        <f t="shared" si="26"/>
        <v>399</v>
      </c>
      <c r="J36" s="3">
        <f t="shared" si="0"/>
        <v>7280</v>
      </c>
      <c r="K36" s="3">
        <f t="shared" si="1"/>
        <v>1925</v>
      </c>
      <c r="L36" s="3">
        <f t="shared" si="2"/>
        <v>1800</v>
      </c>
      <c r="M36">
        <f t="shared" si="3"/>
        <v>1033.1999999999998</v>
      </c>
      <c r="N36">
        <f t="shared" si="4"/>
        <v>864</v>
      </c>
      <c r="O36">
        <f t="shared" si="5"/>
        <v>701.1</v>
      </c>
      <c r="P36">
        <f t="shared" si="6"/>
        <v>1082.5</v>
      </c>
      <c r="Q36">
        <f t="shared" si="7"/>
        <v>774.9</v>
      </c>
      <c r="R36">
        <f t="shared" si="8"/>
        <v>1162.8</v>
      </c>
      <c r="T36">
        <f t="shared" si="9"/>
        <v>3893.0891999999999</v>
      </c>
      <c r="U36">
        <f t="shared" si="10"/>
        <v>76673.475000000006</v>
      </c>
      <c r="V36">
        <f t="shared" si="11"/>
        <v>16776.584999999999</v>
      </c>
      <c r="W36">
        <f t="shared" si="12"/>
        <v>1744.1999999999998</v>
      </c>
      <c r="X36">
        <f t="shared" si="13"/>
        <v>577.5</v>
      </c>
      <c r="Y36">
        <f t="shared" si="14"/>
        <v>99664</v>
      </c>
    </row>
    <row r="37" spans="1:25" ht="15.75" customHeight="1" x14ac:dyDescent="0.3">
      <c r="A37">
        <v>33</v>
      </c>
      <c r="B37" t="s">
        <v>85</v>
      </c>
      <c r="C37" t="s">
        <v>82</v>
      </c>
      <c r="D37">
        <v>118700</v>
      </c>
      <c r="E37">
        <f t="shared" si="23"/>
        <v>732</v>
      </c>
      <c r="F37">
        <f t="shared" si="24"/>
        <v>375</v>
      </c>
      <c r="G37">
        <f t="shared" si="25"/>
        <v>375</v>
      </c>
      <c r="H37">
        <f t="shared" si="26"/>
        <v>405</v>
      </c>
      <c r="J37" s="3">
        <f t="shared" ref="J37:J68" si="27">80 +E37*10</f>
        <v>7400</v>
      </c>
      <c r="K37" s="3">
        <f t="shared" ref="K37:K68" si="28">80 +F37*5</f>
        <v>1955</v>
      </c>
      <c r="L37" s="3">
        <f t="shared" ref="L37:L68" si="29">E37*2.5</f>
        <v>1830</v>
      </c>
      <c r="M37">
        <f t="shared" ref="M37:M68" si="30">F37*2.3+G37*0.5</f>
        <v>1050</v>
      </c>
      <c r="N37">
        <f t="shared" ref="N37:N68" si="31">E37*1.2</f>
        <v>878.4</v>
      </c>
      <c r="O37">
        <f t="shared" ref="O37:O68" si="32">F37*1.1+G37*0.8</f>
        <v>712.5</v>
      </c>
      <c r="P37">
        <f t="shared" ref="P37:P68" si="33">100+H37*2 + G37*0.5</f>
        <v>1097.5</v>
      </c>
      <c r="Q37">
        <f t="shared" ref="Q37:Q68" si="34">G37*1.6+F37*0.5</f>
        <v>787.5</v>
      </c>
      <c r="R37">
        <f t="shared" ref="R37:R68" si="35">G37*1.2 + E37</f>
        <v>1182</v>
      </c>
      <c r="T37">
        <f t="shared" ref="T37:T68" si="36">J37*(1+N37/1000*0.5 + O37/1000*0.5)*0.3</f>
        <v>3985.8989999999999</v>
      </c>
      <c r="U37">
        <f t="shared" ref="U37:U68" si="37">(L37*0.5+M37*0.5)*P37/100*5</f>
        <v>79020</v>
      </c>
      <c r="V37">
        <f t="shared" ref="V37:V68" si="38">Q37*P37/100*2</f>
        <v>17285.625</v>
      </c>
      <c r="W37">
        <f t="shared" ref="W37:W68" si="39">R37*1.5</f>
        <v>1773</v>
      </c>
      <c r="X37">
        <f t="shared" ref="X37:X68" si="40">K37*0.3</f>
        <v>586.5</v>
      </c>
      <c r="Y37">
        <f t="shared" ref="Y37:Y68" si="41">FLOOR(SUM(T37:X37),1)</f>
        <v>102651</v>
      </c>
    </row>
    <row r="38" spans="1:25" ht="15.75" customHeight="1" x14ac:dyDescent="0.3">
      <c r="A38">
        <v>34</v>
      </c>
      <c r="B38" t="s">
        <v>86</v>
      </c>
      <c r="C38" t="s">
        <v>82</v>
      </c>
      <c r="D38">
        <v>131667</v>
      </c>
      <c r="E38">
        <f t="shared" si="23"/>
        <v>744</v>
      </c>
      <c r="F38">
        <f t="shared" si="24"/>
        <v>381</v>
      </c>
      <c r="G38">
        <f t="shared" si="25"/>
        <v>381</v>
      </c>
      <c r="H38">
        <f t="shared" si="26"/>
        <v>411</v>
      </c>
      <c r="J38" s="3">
        <f t="shared" si="27"/>
        <v>7520</v>
      </c>
      <c r="K38" s="3">
        <f t="shared" si="28"/>
        <v>1985</v>
      </c>
      <c r="L38" s="3">
        <f t="shared" si="29"/>
        <v>1860</v>
      </c>
      <c r="M38">
        <f t="shared" si="30"/>
        <v>1066.8</v>
      </c>
      <c r="N38">
        <f t="shared" si="31"/>
        <v>892.8</v>
      </c>
      <c r="O38">
        <f t="shared" si="32"/>
        <v>723.90000000000009</v>
      </c>
      <c r="P38">
        <f t="shared" si="33"/>
        <v>1112.5</v>
      </c>
      <c r="Q38">
        <f t="shared" si="34"/>
        <v>800.1</v>
      </c>
      <c r="R38">
        <f t="shared" si="35"/>
        <v>1201.2</v>
      </c>
      <c r="T38">
        <f t="shared" si="36"/>
        <v>4079.6375999999996</v>
      </c>
      <c r="U38">
        <f t="shared" si="37"/>
        <v>81401.625</v>
      </c>
      <c r="V38">
        <f t="shared" si="38"/>
        <v>17802.224999999999</v>
      </c>
      <c r="W38">
        <f t="shared" si="39"/>
        <v>1801.8000000000002</v>
      </c>
      <c r="X38">
        <f t="shared" si="40"/>
        <v>595.5</v>
      </c>
      <c r="Y38">
        <f t="shared" si="41"/>
        <v>105680</v>
      </c>
    </row>
    <row r="39" spans="1:25" ht="15.75" customHeight="1" x14ac:dyDescent="0.3">
      <c r="A39">
        <v>35</v>
      </c>
      <c r="B39" t="s">
        <v>87</v>
      </c>
      <c r="C39" t="s">
        <v>82</v>
      </c>
      <c r="D39">
        <v>144633</v>
      </c>
      <c r="E39">
        <f t="shared" si="23"/>
        <v>756</v>
      </c>
      <c r="F39">
        <f t="shared" si="24"/>
        <v>387</v>
      </c>
      <c r="G39">
        <f t="shared" si="25"/>
        <v>387</v>
      </c>
      <c r="H39">
        <f t="shared" si="26"/>
        <v>417</v>
      </c>
      <c r="J39" s="3">
        <f t="shared" si="27"/>
        <v>7640</v>
      </c>
      <c r="K39" s="3">
        <f t="shared" si="28"/>
        <v>2015</v>
      </c>
      <c r="L39" s="3">
        <f t="shared" si="29"/>
        <v>1890</v>
      </c>
      <c r="M39">
        <f t="shared" si="30"/>
        <v>1083.5999999999999</v>
      </c>
      <c r="N39">
        <f t="shared" si="31"/>
        <v>907.19999999999993</v>
      </c>
      <c r="O39">
        <f t="shared" si="32"/>
        <v>735.30000000000007</v>
      </c>
      <c r="P39">
        <f t="shared" si="33"/>
        <v>1127.5</v>
      </c>
      <c r="Q39">
        <f t="shared" si="34"/>
        <v>812.7</v>
      </c>
      <c r="R39">
        <f t="shared" si="35"/>
        <v>1220.4000000000001</v>
      </c>
      <c r="T39">
        <f t="shared" si="36"/>
        <v>4174.3050000000003</v>
      </c>
      <c r="U39">
        <f t="shared" si="37"/>
        <v>83818.349999999991</v>
      </c>
      <c r="V39">
        <f t="shared" si="38"/>
        <v>18326.384999999998</v>
      </c>
      <c r="W39">
        <f t="shared" si="39"/>
        <v>1830.6000000000001</v>
      </c>
      <c r="X39">
        <f t="shared" si="40"/>
        <v>604.5</v>
      </c>
      <c r="Y39">
        <f t="shared" si="41"/>
        <v>108754</v>
      </c>
    </row>
    <row r="40" spans="1:25" ht="15.75" customHeight="1" x14ac:dyDescent="0.3">
      <c r="A40">
        <v>36</v>
      </c>
      <c r="B40" t="s">
        <v>88</v>
      </c>
      <c r="C40" t="s">
        <v>82</v>
      </c>
      <c r="D40">
        <v>157600</v>
      </c>
      <c r="E40">
        <f t="shared" si="23"/>
        <v>768</v>
      </c>
      <c r="F40">
        <f t="shared" si="24"/>
        <v>393</v>
      </c>
      <c r="G40">
        <f t="shared" si="25"/>
        <v>393</v>
      </c>
      <c r="H40">
        <f t="shared" si="26"/>
        <v>423</v>
      </c>
      <c r="J40" s="3">
        <f t="shared" si="27"/>
        <v>7760</v>
      </c>
      <c r="K40" s="3">
        <f t="shared" si="28"/>
        <v>2045</v>
      </c>
      <c r="L40" s="3">
        <f t="shared" si="29"/>
        <v>1920</v>
      </c>
      <c r="M40">
        <f t="shared" si="30"/>
        <v>1100.4000000000001</v>
      </c>
      <c r="N40">
        <f t="shared" si="31"/>
        <v>921.59999999999991</v>
      </c>
      <c r="O40">
        <f t="shared" si="32"/>
        <v>746.7</v>
      </c>
      <c r="P40">
        <f t="shared" si="33"/>
        <v>1142.5</v>
      </c>
      <c r="Q40">
        <f t="shared" si="34"/>
        <v>825.30000000000007</v>
      </c>
      <c r="R40">
        <f t="shared" si="35"/>
        <v>1239.5999999999999</v>
      </c>
      <c r="T40">
        <f t="shared" si="36"/>
        <v>4269.9011999999993</v>
      </c>
      <c r="U40">
        <f t="shared" si="37"/>
        <v>86270.175000000003</v>
      </c>
      <c r="V40">
        <f t="shared" si="38"/>
        <v>18858.105000000003</v>
      </c>
      <c r="W40">
        <f t="shared" si="39"/>
        <v>1859.3999999999999</v>
      </c>
      <c r="X40">
        <f t="shared" si="40"/>
        <v>613.5</v>
      </c>
      <c r="Y40">
        <f t="shared" si="41"/>
        <v>111871</v>
      </c>
    </row>
    <row r="41" spans="1:25" ht="15.75" customHeight="1" x14ac:dyDescent="0.3">
      <c r="A41">
        <v>37</v>
      </c>
      <c r="B41" t="s">
        <v>89</v>
      </c>
      <c r="C41" t="s">
        <v>82</v>
      </c>
      <c r="D41">
        <v>186775</v>
      </c>
      <c r="E41">
        <f t="shared" si="23"/>
        <v>780</v>
      </c>
      <c r="F41">
        <f t="shared" si="24"/>
        <v>399</v>
      </c>
      <c r="G41">
        <f t="shared" si="25"/>
        <v>399</v>
      </c>
      <c r="H41">
        <f t="shared" si="26"/>
        <v>429</v>
      </c>
      <c r="J41" s="3">
        <f t="shared" si="27"/>
        <v>7880</v>
      </c>
      <c r="K41" s="3">
        <f t="shared" si="28"/>
        <v>2075</v>
      </c>
      <c r="L41" s="3">
        <f t="shared" si="29"/>
        <v>1950</v>
      </c>
      <c r="M41">
        <f t="shared" si="30"/>
        <v>1117.1999999999998</v>
      </c>
      <c r="N41">
        <f t="shared" si="31"/>
        <v>936</v>
      </c>
      <c r="O41">
        <f t="shared" si="32"/>
        <v>758.10000000000014</v>
      </c>
      <c r="P41">
        <f t="shared" si="33"/>
        <v>1157.5</v>
      </c>
      <c r="Q41">
        <f t="shared" si="34"/>
        <v>837.90000000000009</v>
      </c>
      <c r="R41">
        <f t="shared" si="35"/>
        <v>1258.8</v>
      </c>
      <c r="T41">
        <f t="shared" si="36"/>
        <v>4366.4261999999999</v>
      </c>
      <c r="U41">
        <f t="shared" si="37"/>
        <v>88757.099999999991</v>
      </c>
      <c r="V41">
        <f t="shared" si="38"/>
        <v>19397.385000000002</v>
      </c>
      <c r="W41">
        <f t="shared" si="39"/>
        <v>1888.1999999999998</v>
      </c>
      <c r="X41">
        <f t="shared" si="40"/>
        <v>622.5</v>
      </c>
      <c r="Y41">
        <f t="shared" si="41"/>
        <v>115031</v>
      </c>
    </row>
    <row r="42" spans="1:25" ht="15.75" customHeight="1" x14ac:dyDescent="0.3">
      <c r="A42">
        <v>38</v>
      </c>
      <c r="B42" t="s">
        <v>90</v>
      </c>
      <c r="C42" t="s">
        <v>82</v>
      </c>
      <c r="D42">
        <v>215950</v>
      </c>
      <c r="E42">
        <f t="shared" si="23"/>
        <v>792</v>
      </c>
      <c r="F42">
        <f t="shared" si="24"/>
        <v>405</v>
      </c>
      <c r="G42">
        <f t="shared" si="25"/>
        <v>405</v>
      </c>
      <c r="H42">
        <f t="shared" si="26"/>
        <v>435</v>
      </c>
      <c r="J42" s="3">
        <f t="shared" si="27"/>
        <v>8000</v>
      </c>
      <c r="K42" s="3">
        <f t="shared" si="28"/>
        <v>2105</v>
      </c>
      <c r="L42" s="3">
        <f t="shared" si="29"/>
        <v>1980</v>
      </c>
      <c r="M42">
        <f t="shared" si="30"/>
        <v>1134</v>
      </c>
      <c r="N42">
        <f t="shared" si="31"/>
        <v>950.4</v>
      </c>
      <c r="O42">
        <f t="shared" si="32"/>
        <v>769.5</v>
      </c>
      <c r="P42">
        <f t="shared" si="33"/>
        <v>1172.5</v>
      </c>
      <c r="Q42">
        <f t="shared" si="34"/>
        <v>850.5</v>
      </c>
      <c r="R42">
        <f t="shared" si="35"/>
        <v>1278</v>
      </c>
      <c r="T42">
        <f t="shared" si="36"/>
        <v>4463.88</v>
      </c>
      <c r="U42">
        <f t="shared" si="37"/>
        <v>91279.125</v>
      </c>
      <c r="V42">
        <f t="shared" si="38"/>
        <v>19944.224999999999</v>
      </c>
      <c r="W42">
        <f t="shared" si="39"/>
        <v>1917</v>
      </c>
      <c r="X42">
        <f t="shared" si="40"/>
        <v>631.5</v>
      </c>
      <c r="Y42">
        <f t="shared" si="41"/>
        <v>118235</v>
      </c>
    </row>
    <row r="43" spans="1:25" ht="15.75" customHeight="1" x14ac:dyDescent="0.3">
      <c r="A43">
        <v>39</v>
      </c>
      <c r="B43" t="s">
        <v>91</v>
      </c>
      <c r="C43" t="s">
        <v>82</v>
      </c>
      <c r="D43">
        <v>245125</v>
      </c>
      <c r="E43">
        <f t="shared" si="23"/>
        <v>804</v>
      </c>
      <c r="F43">
        <f t="shared" si="24"/>
        <v>411</v>
      </c>
      <c r="G43">
        <f t="shared" si="25"/>
        <v>411</v>
      </c>
      <c r="H43">
        <f t="shared" si="26"/>
        <v>441</v>
      </c>
      <c r="J43" s="3">
        <f t="shared" si="27"/>
        <v>8120</v>
      </c>
      <c r="K43" s="3">
        <f t="shared" si="28"/>
        <v>2135</v>
      </c>
      <c r="L43" s="3">
        <f t="shared" si="29"/>
        <v>2010</v>
      </c>
      <c r="M43">
        <f t="shared" si="30"/>
        <v>1150.8</v>
      </c>
      <c r="N43">
        <f t="shared" si="31"/>
        <v>964.8</v>
      </c>
      <c r="O43">
        <f t="shared" si="32"/>
        <v>780.90000000000009</v>
      </c>
      <c r="P43">
        <f t="shared" si="33"/>
        <v>1187.5</v>
      </c>
      <c r="Q43">
        <f t="shared" si="34"/>
        <v>863.1</v>
      </c>
      <c r="R43">
        <f t="shared" si="35"/>
        <v>1297.2</v>
      </c>
      <c r="T43">
        <f t="shared" si="36"/>
        <v>4562.2626</v>
      </c>
      <c r="U43">
        <f t="shared" si="37"/>
        <v>93836.25</v>
      </c>
      <c r="V43">
        <f t="shared" si="38"/>
        <v>20498.625</v>
      </c>
      <c r="W43">
        <f t="shared" si="39"/>
        <v>1945.8000000000002</v>
      </c>
      <c r="X43">
        <f t="shared" si="40"/>
        <v>640.5</v>
      </c>
      <c r="Y43">
        <f t="shared" si="41"/>
        <v>121483</v>
      </c>
    </row>
    <row r="44" spans="1:25" ht="15.75" customHeight="1" x14ac:dyDescent="0.3">
      <c r="A44">
        <v>40</v>
      </c>
      <c r="B44" t="s">
        <v>92</v>
      </c>
      <c r="C44" t="s">
        <v>93</v>
      </c>
      <c r="D44">
        <v>274300</v>
      </c>
      <c r="E44">
        <f>FLOOR(E43*1.8,1)</f>
        <v>1447</v>
      </c>
      <c r="F44">
        <f>FLOOR(F43*1.8,1)</f>
        <v>739</v>
      </c>
      <c r="G44">
        <f>FLOOR(G43*1.8,1)</f>
        <v>739</v>
      </c>
      <c r="H44">
        <f>FLOOR(H43*1.8,1)</f>
        <v>793</v>
      </c>
      <c r="J44" s="3">
        <f t="shared" si="27"/>
        <v>14550</v>
      </c>
      <c r="K44" s="3">
        <f t="shared" si="28"/>
        <v>3775</v>
      </c>
      <c r="L44" s="3">
        <f t="shared" si="29"/>
        <v>3617.5</v>
      </c>
      <c r="M44">
        <f t="shared" si="30"/>
        <v>2069.1999999999998</v>
      </c>
      <c r="N44">
        <f t="shared" si="31"/>
        <v>1736.3999999999999</v>
      </c>
      <c r="O44">
        <f t="shared" si="32"/>
        <v>1404.1000000000001</v>
      </c>
      <c r="P44">
        <f t="shared" si="33"/>
        <v>2055.5</v>
      </c>
      <c r="Q44">
        <f t="shared" si="34"/>
        <v>1551.9</v>
      </c>
      <c r="R44">
        <f t="shared" si="35"/>
        <v>2333.8000000000002</v>
      </c>
      <c r="T44">
        <f t="shared" si="36"/>
        <v>11219.141249999999</v>
      </c>
      <c r="U44">
        <f t="shared" si="37"/>
        <v>292225.29625000001</v>
      </c>
      <c r="V44">
        <f t="shared" si="38"/>
        <v>63798.609000000004</v>
      </c>
      <c r="W44">
        <f t="shared" si="39"/>
        <v>3500.7000000000003</v>
      </c>
      <c r="X44">
        <f t="shared" si="40"/>
        <v>1132.5</v>
      </c>
      <c r="Y44">
        <f t="shared" si="41"/>
        <v>371876</v>
      </c>
    </row>
    <row r="45" spans="1:25" ht="15.75" customHeight="1" x14ac:dyDescent="0.3">
      <c r="A45">
        <v>41</v>
      </c>
      <c r="B45" t="s">
        <v>94</v>
      </c>
      <c r="C45" t="s">
        <v>93</v>
      </c>
      <c r="D45">
        <v>313667</v>
      </c>
      <c r="E45">
        <f t="shared" ref="E45:E53" si="42">E44+20</f>
        <v>1467</v>
      </c>
      <c r="F45">
        <f t="shared" ref="F45:F53" si="43">F44+8</f>
        <v>747</v>
      </c>
      <c r="G45">
        <f t="shared" ref="G45:G53" si="44">G44+8</f>
        <v>747</v>
      </c>
      <c r="H45">
        <f t="shared" ref="H45:H53" si="45">H44+8</f>
        <v>801</v>
      </c>
      <c r="J45" s="3">
        <f t="shared" si="27"/>
        <v>14750</v>
      </c>
      <c r="K45" s="3">
        <f t="shared" si="28"/>
        <v>3815</v>
      </c>
      <c r="L45" s="3">
        <f t="shared" si="29"/>
        <v>3667.5</v>
      </c>
      <c r="M45">
        <f t="shared" si="30"/>
        <v>2091.6</v>
      </c>
      <c r="N45">
        <f t="shared" si="31"/>
        <v>1760.3999999999999</v>
      </c>
      <c r="O45">
        <f t="shared" si="32"/>
        <v>1419.3000000000002</v>
      </c>
      <c r="P45">
        <f t="shared" si="33"/>
        <v>2075.5</v>
      </c>
      <c r="Q45">
        <f t="shared" si="34"/>
        <v>1568.7</v>
      </c>
      <c r="R45">
        <f t="shared" si="35"/>
        <v>2363.4</v>
      </c>
      <c r="T45">
        <f t="shared" si="36"/>
        <v>11460.086250000002</v>
      </c>
      <c r="U45">
        <f t="shared" si="37"/>
        <v>298825.30125000002</v>
      </c>
      <c r="V45">
        <f t="shared" si="38"/>
        <v>65116.737000000001</v>
      </c>
      <c r="W45">
        <f t="shared" si="39"/>
        <v>3545.1000000000004</v>
      </c>
      <c r="X45">
        <f t="shared" si="40"/>
        <v>1144.5</v>
      </c>
      <c r="Y45">
        <f t="shared" si="41"/>
        <v>380091</v>
      </c>
    </row>
    <row r="46" spans="1:25" ht="15.75" customHeight="1" x14ac:dyDescent="0.3">
      <c r="A46">
        <v>42</v>
      </c>
      <c r="B46" t="s">
        <v>95</v>
      </c>
      <c r="C46" t="s">
        <v>93</v>
      </c>
      <c r="D46">
        <v>353033</v>
      </c>
      <c r="E46">
        <f t="shared" si="42"/>
        <v>1487</v>
      </c>
      <c r="F46">
        <f t="shared" si="43"/>
        <v>755</v>
      </c>
      <c r="G46">
        <f t="shared" si="44"/>
        <v>755</v>
      </c>
      <c r="H46">
        <f t="shared" si="45"/>
        <v>809</v>
      </c>
      <c r="J46" s="3">
        <f t="shared" si="27"/>
        <v>14950</v>
      </c>
      <c r="K46" s="3">
        <f t="shared" si="28"/>
        <v>3855</v>
      </c>
      <c r="L46" s="3">
        <f t="shared" si="29"/>
        <v>3717.5</v>
      </c>
      <c r="M46">
        <f t="shared" si="30"/>
        <v>2114</v>
      </c>
      <c r="N46">
        <f t="shared" si="31"/>
        <v>1784.3999999999999</v>
      </c>
      <c r="O46">
        <f t="shared" si="32"/>
        <v>1434.5</v>
      </c>
      <c r="P46">
        <f t="shared" si="33"/>
        <v>2095.5</v>
      </c>
      <c r="Q46">
        <f t="shared" si="34"/>
        <v>1585.5</v>
      </c>
      <c r="R46">
        <f t="shared" si="35"/>
        <v>2393</v>
      </c>
      <c r="T46">
        <f t="shared" si="36"/>
        <v>11703.383249999999</v>
      </c>
      <c r="U46">
        <f t="shared" si="37"/>
        <v>305497.70624999999</v>
      </c>
      <c r="V46">
        <f t="shared" si="38"/>
        <v>66448.304999999993</v>
      </c>
      <c r="W46">
        <f t="shared" si="39"/>
        <v>3589.5</v>
      </c>
      <c r="X46">
        <f t="shared" si="40"/>
        <v>1156.5</v>
      </c>
      <c r="Y46">
        <f t="shared" si="41"/>
        <v>388395</v>
      </c>
    </row>
    <row r="47" spans="1:25" ht="15.75" customHeight="1" x14ac:dyDescent="0.3">
      <c r="A47">
        <v>43</v>
      </c>
      <c r="B47" t="s">
        <v>96</v>
      </c>
      <c r="C47" t="s">
        <v>93</v>
      </c>
      <c r="D47">
        <v>392400</v>
      </c>
      <c r="E47">
        <f t="shared" si="42"/>
        <v>1507</v>
      </c>
      <c r="F47">
        <f t="shared" si="43"/>
        <v>763</v>
      </c>
      <c r="G47">
        <f t="shared" si="44"/>
        <v>763</v>
      </c>
      <c r="H47">
        <f t="shared" si="45"/>
        <v>817</v>
      </c>
      <c r="J47" s="3">
        <f t="shared" si="27"/>
        <v>15150</v>
      </c>
      <c r="K47" s="3">
        <f t="shared" si="28"/>
        <v>3895</v>
      </c>
      <c r="L47" s="3">
        <f t="shared" si="29"/>
        <v>3767.5</v>
      </c>
      <c r="M47">
        <f t="shared" si="30"/>
        <v>2136.3999999999996</v>
      </c>
      <c r="N47">
        <f t="shared" si="31"/>
        <v>1808.3999999999999</v>
      </c>
      <c r="O47">
        <f t="shared" si="32"/>
        <v>1449.7</v>
      </c>
      <c r="P47">
        <f t="shared" si="33"/>
        <v>2115.5</v>
      </c>
      <c r="Q47">
        <f t="shared" si="34"/>
        <v>1602.3</v>
      </c>
      <c r="R47">
        <f t="shared" si="35"/>
        <v>2422.6</v>
      </c>
      <c r="T47">
        <f t="shared" si="36"/>
        <v>11949.032249999998</v>
      </c>
      <c r="U47">
        <f t="shared" si="37"/>
        <v>312242.51124999998</v>
      </c>
      <c r="V47">
        <f t="shared" si="38"/>
        <v>67793.312999999995</v>
      </c>
      <c r="W47">
        <f t="shared" si="39"/>
        <v>3633.8999999999996</v>
      </c>
      <c r="X47">
        <f t="shared" si="40"/>
        <v>1168.5</v>
      </c>
      <c r="Y47">
        <f t="shared" si="41"/>
        <v>396787</v>
      </c>
    </row>
    <row r="48" spans="1:25" ht="15.75" customHeight="1" x14ac:dyDescent="0.3">
      <c r="A48">
        <v>44</v>
      </c>
      <c r="B48" t="s">
        <v>97</v>
      </c>
      <c r="C48" t="s">
        <v>93</v>
      </c>
      <c r="D48">
        <v>432267</v>
      </c>
      <c r="E48">
        <f t="shared" si="42"/>
        <v>1527</v>
      </c>
      <c r="F48">
        <f t="shared" si="43"/>
        <v>771</v>
      </c>
      <c r="G48">
        <f t="shared" si="44"/>
        <v>771</v>
      </c>
      <c r="H48">
        <f t="shared" si="45"/>
        <v>825</v>
      </c>
      <c r="J48" s="3">
        <f t="shared" si="27"/>
        <v>15350</v>
      </c>
      <c r="K48" s="3">
        <f t="shared" si="28"/>
        <v>3935</v>
      </c>
      <c r="L48" s="3">
        <f t="shared" si="29"/>
        <v>3817.5</v>
      </c>
      <c r="M48">
        <f t="shared" si="30"/>
        <v>2158.8000000000002</v>
      </c>
      <c r="N48">
        <f t="shared" si="31"/>
        <v>1832.3999999999999</v>
      </c>
      <c r="O48">
        <f t="shared" si="32"/>
        <v>1464.9</v>
      </c>
      <c r="P48">
        <f t="shared" si="33"/>
        <v>2135.5</v>
      </c>
      <c r="Q48">
        <f t="shared" si="34"/>
        <v>1619.1000000000001</v>
      </c>
      <c r="R48">
        <f t="shared" si="35"/>
        <v>2452.1999999999998</v>
      </c>
      <c r="T48">
        <f t="shared" si="36"/>
        <v>12197.033249999999</v>
      </c>
      <c r="U48">
        <f t="shared" si="37"/>
        <v>319059.71625</v>
      </c>
      <c r="V48">
        <f t="shared" si="38"/>
        <v>69151.760999999999</v>
      </c>
      <c r="W48">
        <f t="shared" si="39"/>
        <v>3678.2999999999997</v>
      </c>
      <c r="X48">
        <f t="shared" si="40"/>
        <v>1180.5</v>
      </c>
      <c r="Y48">
        <f t="shared" si="41"/>
        <v>405267</v>
      </c>
    </row>
    <row r="49" spans="1:25" ht="15.75" customHeight="1" x14ac:dyDescent="0.3">
      <c r="A49">
        <v>45</v>
      </c>
      <c r="B49" t="s">
        <v>98</v>
      </c>
      <c r="C49" t="s">
        <v>93</v>
      </c>
      <c r="D49">
        <v>472133</v>
      </c>
      <c r="E49">
        <f t="shared" si="42"/>
        <v>1547</v>
      </c>
      <c r="F49">
        <f t="shared" si="43"/>
        <v>779</v>
      </c>
      <c r="G49">
        <f t="shared" si="44"/>
        <v>779</v>
      </c>
      <c r="H49">
        <f t="shared" si="45"/>
        <v>833</v>
      </c>
      <c r="J49" s="3">
        <f t="shared" si="27"/>
        <v>15550</v>
      </c>
      <c r="K49" s="3">
        <f t="shared" si="28"/>
        <v>3975</v>
      </c>
      <c r="L49" s="3">
        <f t="shared" si="29"/>
        <v>3867.5</v>
      </c>
      <c r="M49">
        <f t="shared" si="30"/>
        <v>2181.1999999999998</v>
      </c>
      <c r="N49">
        <f t="shared" si="31"/>
        <v>1856.3999999999999</v>
      </c>
      <c r="O49">
        <f t="shared" si="32"/>
        <v>1480.1000000000001</v>
      </c>
      <c r="P49">
        <f t="shared" si="33"/>
        <v>2155.5</v>
      </c>
      <c r="Q49">
        <f t="shared" si="34"/>
        <v>1635.9</v>
      </c>
      <c r="R49">
        <f t="shared" si="35"/>
        <v>2481.8000000000002</v>
      </c>
      <c r="T49">
        <f t="shared" si="36"/>
        <v>12447.38625</v>
      </c>
      <c r="U49">
        <f t="shared" si="37"/>
        <v>325949.32124999998</v>
      </c>
      <c r="V49">
        <f t="shared" si="38"/>
        <v>70523.649000000005</v>
      </c>
      <c r="W49">
        <f t="shared" si="39"/>
        <v>3722.7000000000003</v>
      </c>
      <c r="X49">
        <f t="shared" si="40"/>
        <v>1192.5</v>
      </c>
      <c r="Y49">
        <f t="shared" si="41"/>
        <v>413835</v>
      </c>
    </row>
    <row r="50" spans="1:25" ht="15.75" customHeight="1" x14ac:dyDescent="0.3">
      <c r="A50">
        <v>46</v>
      </c>
      <c r="B50" t="s">
        <v>99</v>
      </c>
      <c r="C50" t="s">
        <v>93</v>
      </c>
      <c r="D50">
        <v>512000</v>
      </c>
      <c r="E50">
        <f t="shared" si="42"/>
        <v>1567</v>
      </c>
      <c r="F50">
        <f t="shared" si="43"/>
        <v>787</v>
      </c>
      <c r="G50">
        <f t="shared" si="44"/>
        <v>787</v>
      </c>
      <c r="H50">
        <f t="shared" si="45"/>
        <v>841</v>
      </c>
      <c r="J50" s="3">
        <f t="shared" si="27"/>
        <v>15750</v>
      </c>
      <c r="K50" s="3">
        <f t="shared" si="28"/>
        <v>4015</v>
      </c>
      <c r="L50" s="3">
        <f t="shared" si="29"/>
        <v>3917.5</v>
      </c>
      <c r="M50">
        <f t="shared" si="30"/>
        <v>2203.6</v>
      </c>
      <c r="N50">
        <f t="shared" si="31"/>
        <v>1880.3999999999999</v>
      </c>
      <c r="O50">
        <f t="shared" si="32"/>
        <v>1495.3000000000002</v>
      </c>
      <c r="P50">
        <f t="shared" si="33"/>
        <v>2175.5</v>
      </c>
      <c r="Q50">
        <f t="shared" si="34"/>
        <v>1652.7</v>
      </c>
      <c r="R50">
        <f t="shared" si="35"/>
        <v>2511.4</v>
      </c>
      <c r="T50">
        <f t="shared" si="36"/>
        <v>12700.091250000001</v>
      </c>
      <c r="U50">
        <f t="shared" si="37"/>
        <v>332911.32624999998</v>
      </c>
      <c r="V50">
        <f t="shared" si="38"/>
        <v>71908.976999999999</v>
      </c>
      <c r="W50">
        <f t="shared" si="39"/>
        <v>3767.1000000000004</v>
      </c>
      <c r="X50">
        <f t="shared" si="40"/>
        <v>1204.5</v>
      </c>
      <c r="Y50">
        <f t="shared" si="41"/>
        <v>422491</v>
      </c>
    </row>
    <row r="51" spans="1:25" ht="15.75" customHeight="1" x14ac:dyDescent="0.3">
      <c r="A51">
        <v>47</v>
      </c>
      <c r="B51" t="s">
        <v>100</v>
      </c>
      <c r="C51" t="s">
        <v>93</v>
      </c>
      <c r="D51">
        <v>542300</v>
      </c>
      <c r="E51">
        <f t="shared" si="42"/>
        <v>1587</v>
      </c>
      <c r="F51">
        <f t="shared" si="43"/>
        <v>795</v>
      </c>
      <c r="G51">
        <f t="shared" si="44"/>
        <v>795</v>
      </c>
      <c r="H51">
        <f t="shared" si="45"/>
        <v>849</v>
      </c>
      <c r="J51" s="3">
        <f t="shared" si="27"/>
        <v>15950</v>
      </c>
      <c r="K51" s="3">
        <f t="shared" si="28"/>
        <v>4055</v>
      </c>
      <c r="L51" s="3">
        <f t="shared" si="29"/>
        <v>3967.5</v>
      </c>
      <c r="M51">
        <f t="shared" si="30"/>
        <v>2226</v>
      </c>
      <c r="N51">
        <f t="shared" si="31"/>
        <v>1904.3999999999999</v>
      </c>
      <c r="O51">
        <f t="shared" si="32"/>
        <v>1510.5</v>
      </c>
      <c r="P51">
        <f t="shared" si="33"/>
        <v>2195.5</v>
      </c>
      <c r="Q51">
        <f t="shared" si="34"/>
        <v>1669.5</v>
      </c>
      <c r="R51">
        <f t="shared" si="35"/>
        <v>2541</v>
      </c>
      <c r="T51">
        <f t="shared" si="36"/>
        <v>12955.148249999997</v>
      </c>
      <c r="U51">
        <f t="shared" si="37"/>
        <v>339945.73125000001</v>
      </c>
      <c r="V51">
        <f t="shared" si="38"/>
        <v>73307.744999999995</v>
      </c>
      <c r="W51">
        <f t="shared" si="39"/>
        <v>3811.5</v>
      </c>
      <c r="X51">
        <f t="shared" si="40"/>
        <v>1216.5</v>
      </c>
      <c r="Y51">
        <f t="shared" si="41"/>
        <v>431236</v>
      </c>
    </row>
    <row r="52" spans="1:25" ht="15.75" customHeight="1" x14ac:dyDescent="0.3">
      <c r="A52">
        <v>48</v>
      </c>
      <c r="B52" t="s">
        <v>101</v>
      </c>
      <c r="C52" t="s">
        <v>93</v>
      </c>
      <c r="D52">
        <v>572600</v>
      </c>
      <c r="E52">
        <f t="shared" si="42"/>
        <v>1607</v>
      </c>
      <c r="F52">
        <f t="shared" si="43"/>
        <v>803</v>
      </c>
      <c r="G52">
        <f t="shared" si="44"/>
        <v>803</v>
      </c>
      <c r="H52">
        <f t="shared" si="45"/>
        <v>857</v>
      </c>
      <c r="J52" s="3">
        <f t="shared" si="27"/>
        <v>16150</v>
      </c>
      <c r="K52" s="3">
        <f t="shared" si="28"/>
        <v>4095</v>
      </c>
      <c r="L52" s="3">
        <f t="shared" si="29"/>
        <v>4017.5</v>
      </c>
      <c r="M52">
        <f t="shared" si="30"/>
        <v>2248.3999999999996</v>
      </c>
      <c r="N52">
        <f t="shared" si="31"/>
        <v>1928.3999999999999</v>
      </c>
      <c r="O52">
        <f t="shared" si="32"/>
        <v>1525.7000000000003</v>
      </c>
      <c r="P52">
        <f t="shared" si="33"/>
        <v>2215.5</v>
      </c>
      <c r="Q52">
        <f t="shared" si="34"/>
        <v>1686.3000000000002</v>
      </c>
      <c r="R52">
        <f t="shared" si="35"/>
        <v>2570.6</v>
      </c>
      <c r="T52">
        <f t="shared" si="36"/>
        <v>13212.557250000002</v>
      </c>
      <c r="U52">
        <f t="shared" si="37"/>
        <v>347052.53625</v>
      </c>
      <c r="V52">
        <f t="shared" si="38"/>
        <v>74719.953000000009</v>
      </c>
      <c r="W52">
        <f t="shared" si="39"/>
        <v>3855.8999999999996</v>
      </c>
      <c r="X52">
        <f t="shared" si="40"/>
        <v>1228.5</v>
      </c>
      <c r="Y52">
        <f t="shared" si="41"/>
        <v>440069</v>
      </c>
    </row>
    <row r="53" spans="1:25" ht="15.75" customHeight="1" x14ac:dyDescent="0.3">
      <c r="A53">
        <v>49</v>
      </c>
      <c r="B53" t="s">
        <v>102</v>
      </c>
      <c r="C53" t="s">
        <v>93</v>
      </c>
      <c r="D53">
        <v>602900</v>
      </c>
      <c r="E53">
        <f t="shared" si="42"/>
        <v>1627</v>
      </c>
      <c r="F53">
        <f t="shared" si="43"/>
        <v>811</v>
      </c>
      <c r="G53">
        <f t="shared" si="44"/>
        <v>811</v>
      </c>
      <c r="H53">
        <f t="shared" si="45"/>
        <v>865</v>
      </c>
      <c r="J53" s="3">
        <f t="shared" si="27"/>
        <v>16350</v>
      </c>
      <c r="K53" s="3">
        <f t="shared" si="28"/>
        <v>4135</v>
      </c>
      <c r="L53" s="3">
        <f t="shared" si="29"/>
        <v>4067.5</v>
      </c>
      <c r="M53">
        <f t="shared" si="30"/>
        <v>2270.8000000000002</v>
      </c>
      <c r="N53">
        <f t="shared" si="31"/>
        <v>1952.3999999999999</v>
      </c>
      <c r="O53">
        <f t="shared" si="32"/>
        <v>1540.9</v>
      </c>
      <c r="P53">
        <f t="shared" si="33"/>
        <v>2235.5</v>
      </c>
      <c r="Q53">
        <f t="shared" si="34"/>
        <v>1703.1000000000001</v>
      </c>
      <c r="R53">
        <f t="shared" si="35"/>
        <v>2600.1999999999998</v>
      </c>
      <c r="T53">
        <f t="shared" si="36"/>
        <v>13472.318249999998</v>
      </c>
      <c r="U53">
        <f t="shared" si="37"/>
        <v>354231.74124999996</v>
      </c>
      <c r="V53">
        <f t="shared" si="38"/>
        <v>76145.60100000001</v>
      </c>
      <c r="W53">
        <f t="shared" si="39"/>
        <v>3900.2999999999997</v>
      </c>
      <c r="X53">
        <f t="shared" si="40"/>
        <v>1240.5</v>
      </c>
      <c r="Y53">
        <f t="shared" si="41"/>
        <v>448990</v>
      </c>
    </row>
    <row r="54" spans="1:25" ht="15.75" customHeight="1" x14ac:dyDescent="0.3">
      <c r="A54">
        <v>50</v>
      </c>
      <c r="B54" t="s">
        <v>103</v>
      </c>
      <c r="C54" t="s">
        <v>104</v>
      </c>
      <c r="D54">
        <v>633200</v>
      </c>
      <c r="E54">
        <f>FLOOR(E53*1.5,1)</f>
        <v>2440</v>
      </c>
      <c r="F54">
        <f>FLOOR(F53*1.5,1)</f>
        <v>1216</v>
      </c>
      <c r="G54">
        <f>FLOOR(G53*1.5,1)</f>
        <v>1216</v>
      </c>
      <c r="H54">
        <f>FLOOR(H53*1.5,1)</f>
        <v>1297</v>
      </c>
      <c r="J54" s="3">
        <f t="shared" si="27"/>
        <v>24480</v>
      </c>
      <c r="K54" s="3">
        <f t="shared" si="28"/>
        <v>6160</v>
      </c>
      <c r="L54" s="3">
        <f t="shared" si="29"/>
        <v>6100</v>
      </c>
      <c r="M54">
        <f t="shared" si="30"/>
        <v>3404.7999999999997</v>
      </c>
      <c r="N54">
        <f t="shared" si="31"/>
        <v>2928</v>
      </c>
      <c r="O54">
        <f t="shared" si="32"/>
        <v>2310.4</v>
      </c>
      <c r="P54">
        <f t="shared" si="33"/>
        <v>3302</v>
      </c>
      <c r="Q54">
        <f t="shared" si="34"/>
        <v>2553.6000000000004</v>
      </c>
      <c r="R54">
        <f t="shared" si="35"/>
        <v>3899.2</v>
      </c>
      <c r="T54">
        <f t="shared" si="36"/>
        <v>26579.4048</v>
      </c>
      <c r="U54">
        <f t="shared" si="37"/>
        <v>784621.24</v>
      </c>
      <c r="V54">
        <f t="shared" si="38"/>
        <v>168639.74400000004</v>
      </c>
      <c r="W54">
        <f t="shared" si="39"/>
        <v>5848.7999999999993</v>
      </c>
      <c r="X54">
        <f t="shared" si="40"/>
        <v>1848</v>
      </c>
      <c r="Y54">
        <f t="shared" si="41"/>
        <v>987537</v>
      </c>
    </row>
    <row r="55" spans="1:25" ht="15.75" customHeight="1" x14ac:dyDescent="0.3">
      <c r="A55">
        <v>51</v>
      </c>
      <c r="B55" t="s">
        <v>105</v>
      </c>
      <c r="C55" t="s">
        <v>104</v>
      </c>
      <c r="D55">
        <v>674167</v>
      </c>
      <c r="E55">
        <f t="shared" ref="E55:E63" si="46">E54+30</f>
        <v>2470</v>
      </c>
      <c r="F55">
        <f t="shared" ref="F55:F63" si="47">F54+10</f>
        <v>1226</v>
      </c>
      <c r="G55">
        <f t="shared" ref="G55:G63" si="48">G54+10</f>
        <v>1226</v>
      </c>
      <c r="H55">
        <f t="shared" ref="H55:H63" si="49">H54+10</f>
        <v>1307</v>
      </c>
      <c r="J55" s="3">
        <f t="shared" si="27"/>
        <v>24780</v>
      </c>
      <c r="K55" s="3">
        <f t="shared" si="28"/>
        <v>6210</v>
      </c>
      <c r="L55" s="3">
        <f t="shared" si="29"/>
        <v>6175</v>
      </c>
      <c r="M55">
        <f t="shared" si="30"/>
        <v>3432.7999999999997</v>
      </c>
      <c r="N55">
        <f t="shared" si="31"/>
        <v>2964</v>
      </c>
      <c r="O55">
        <f t="shared" si="32"/>
        <v>2329.4</v>
      </c>
      <c r="P55">
        <f t="shared" si="33"/>
        <v>3327</v>
      </c>
      <c r="Q55">
        <f t="shared" si="34"/>
        <v>2574.6000000000004</v>
      </c>
      <c r="R55">
        <f t="shared" si="35"/>
        <v>3941.2</v>
      </c>
      <c r="T55">
        <f t="shared" si="36"/>
        <v>27109.567799999997</v>
      </c>
      <c r="U55">
        <f t="shared" si="37"/>
        <v>799128.76500000001</v>
      </c>
      <c r="V55">
        <f t="shared" si="38"/>
        <v>171313.88400000002</v>
      </c>
      <c r="W55">
        <f t="shared" si="39"/>
        <v>5911.7999999999993</v>
      </c>
      <c r="X55">
        <f t="shared" si="40"/>
        <v>1863</v>
      </c>
      <c r="Y55">
        <f t="shared" si="41"/>
        <v>1005327</v>
      </c>
    </row>
    <row r="56" spans="1:25" ht="15.75" customHeight="1" x14ac:dyDescent="0.3">
      <c r="A56">
        <v>52</v>
      </c>
      <c r="B56" t="s">
        <v>106</v>
      </c>
      <c r="C56" t="s">
        <v>104</v>
      </c>
      <c r="D56">
        <v>715133</v>
      </c>
      <c r="E56">
        <f t="shared" si="46"/>
        <v>2500</v>
      </c>
      <c r="F56">
        <f t="shared" si="47"/>
        <v>1236</v>
      </c>
      <c r="G56">
        <f t="shared" si="48"/>
        <v>1236</v>
      </c>
      <c r="H56">
        <f t="shared" si="49"/>
        <v>1317</v>
      </c>
      <c r="J56" s="3">
        <f t="shared" si="27"/>
        <v>25080</v>
      </c>
      <c r="K56" s="3">
        <f t="shared" si="28"/>
        <v>6260</v>
      </c>
      <c r="L56" s="3">
        <f t="shared" si="29"/>
        <v>6250</v>
      </c>
      <c r="M56">
        <f t="shared" si="30"/>
        <v>3460.7999999999997</v>
      </c>
      <c r="N56">
        <f t="shared" si="31"/>
        <v>3000</v>
      </c>
      <c r="O56">
        <f t="shared" si="32"/>
        <v>2348.4</v>
      </c>
      <c r="P56">
        <f t="shared" si="33"/>
        <v>3352</v>
      </c>
      <c r="Q56">
        <f t="shared" si="34"/>
        <v>2595.6000000000004</v>
      </c>
      <c r="R56">
        <f t="shared" si="35"/>
        <v>3983.2</v>
      </c>
      <c r="T56">
        <f t="shared" si="36"/>
        <v>27644.680799999998</v>
      </c>
      <c r="U56">
        <f t="shared" si="37"/>
        <v>813765.04</v>
      </c>
      <c r="V56">
        <f t="shared" si="38"/>
        <v>174009.02400000003</v>
      </c>
      <c r="W56">
        <f t="shared" si="39"/>
        <v>5974.7999999999993</v>
      </c>
      <c r="X56">
        <f t="shared" si="40"/>
        <v>1878</v>
      </c>
      <c r="Y56">
        <f t="shared" si="41"/>
        <v>1023271</v>
      </c>
    </row>
    <row r="57" spans="1:25" ht="15.75" customHeight="1" x14ac:dyDescent="0.3">
      <c r="A57">
        <v>53</v>
      </c>
      <c r="B57" t="s">
        <v>107</v>
      </c>
      <c r="C57" t="s">
        <v>104</v>
      </c>
      <c r="D57">
        <v>756100</v>
      </c>
      <c r="E57">
        <f t="shared" si="46"/>
        <v>2530</v>
      </c>
      <c r="F57">
        <f t="shared" si="47"/>
        <v>1246</v>
      </c>
      <c r="G57">
        <f t="shared" si="48"/>
        <v>1246</v>
      </c>
      <c r="H57">
        <f t="shared" si="49"/>
        <v>1327</v>
      </c>
      <c r="J57" s="3">
        <f t="shared" si="27"/>
        <v>25380</v>
      </c>
      <c r="K57" s="3">
        <f t="shared" si="28"/>
        <v>6310</v>
      </c>
      <c r="L57" s="3">
        <f t="shared" si="29"/>
        <v>6325</v>
      </c>
      <c r="M57">
        <f t="shared" si="30"/>
        <v>3488.7999999999997</v>
      </c>
      <c r="N57">
        <f t="shared" si="31"/>
        <v>3036</v>
      </c>
      <c r="O57">
        <f t="shared" si="32"/>
        <v>2367.4</v>
      </c>
      <c r="P57">
        <f t="shared" si="33"/>
        <v>3377</v>
      </c>
      <c r="Q57">
        <f t="shared" si="34"/>
        <v>2616.6000000000004</v>
      </c>
      <c r="R57">
        <f t="shared" si="35"/>
        <v>4025.2</v>
      </c>
      <c r="T57">
        <f t="shared" si="36"/>
        <v>28184.743799999997</v>
      </c>
      <c r="U57">
        <f t="shared" si="37"/>
        <v>828530.06499999994</v>
      </c>
      <c r="V57">
        <f t="shared" si="38"/>
        <v>176725.16400000002</v>
      </c>
      <c r="W57">
        <f t="shared" si="39"/>
        <v>6037.7999999999993</v>
      </c>
      <c r="X57">
        <f t="shared" si="40"/>
        <v>1893</v>
      </c>
      <c r="Y57">
        <f t="shared" si="41"/>
        <v>1041370</v>
      </c>
    </row>
    <row r="58" spans="1:25" ht="15.75" customHeight="1" x14ac:dyDescent="0.3">
      <c r="A58">
        <v>54</v>
      </c>
      <c r="B58" t="s">
        <v>108</v>
      </c>
      <c r="C58" t="s">
        <v>104</v>
      </c>
      <c r="D58">
        <v>879000</v>
      </c>
      <c r="E58">
        <f t="shared" si="46"/>
        <v>2560</v>
      </c>
      <c r="F58">
        <f t="shared" si="47"/>
        <v>1256</v>
      </c>
      <c r="G58">
        <f t="shared" si="48"/>
        <v>1256</v>
      </c>
      <c r="H58">
        <f t="shared" si="49"/>
        <v>1337</v>
      </c>
      <c r="J58" s="3">
        <f t="shared" si="27"/>
        <v>25680</v>
      </c>
      <c r="K58" s="3">
        <f t="shared" si="28"/>
        <v>6360</v>
      </c>
      <c r="L58" s="3">
        <f t="shared" si="29"/>
        <v>6400</v>
      </c>
      <c r="M58">
        <f t="shared" si="30"/>
        <v>3516.7999999999997</v>
      </c>
      <c r="N58">
        <f t="shared" si="31"/>
        <v>3072</v>
      </c>
      <c r="O58">
        <f t="shared" si="32"/>
        <v>2386.4</v>
      </c>
      <c r="P58">
        <f t="shared" si="33"/>
        <v>3402</v>
      </c>
      <c r="Q58">
        <f t="shared" si="34"/>
        <v>2637.6000000000004</v>
      </c>
      <c r="R58">
        <f t="shared" si="35"/>
        <v>4067.2</v>
      </c>
      <c r="T58">
        <f t="shared" si="36"/>
        <v>28729.756799999999</v>
      </c>
      <c r="U58">
        <f t="shared" si="37"/>
        <v>843423.83999999985</v>
      </c>
      <c r="V58">
        <f t="shared" si="38"/>
        <v>179462.30400000003</v>
      </c>
      <c r="W58">
        <f t="shared" si="39"/>
        <v>6100.7999999999993</v>
      </c>
      <c r="X58">
        <f t="shared" si="40"/>
        <v>1908</v>
      </c>
      <c r="Y58">
        <f t="shared" si="41"/>
        <v>1059624</v>
      </c>
    </row>
    <row r="59" spans="1:25" ht="15.75" customHeight="1" x14ac:dyDescent="0.3">
      <c r="A59">
        <v>55</v>
      </c>
      <c r="B59" t="s">
        <v>109</v>
      </c>
      <c r="C59" t="s">
        <v>104</v>
      </c>
      <c r="D59">
        <v>1001900</v>
      </c>
      <c r="E59">
        <f t="shared" si="46"/>
        <v>2590</v>
      </c>
      <c r="F59">
        <f t="shared" si="47"/>
        <v>1266</v>
      </c>
      <c r="G59">
        <f t="shared" si="48"/>
        <v>1266</v>
      </c>
      <c r="H59">
        <f t="shared" si="49"/>
        <v>1347</v>
      </c>
      <c r="J59" s="3">
        <f t="shared" si="27"/>
        <v>25980</v>
      </c>
      <c r="K59" s="3">
        <f t="shared" si="28"/>
        <v>6410</v>
      </c>
      <c r="L59" s="3">
        <f t="shared" si="29"/>
        <v>6475</v>
      </c>
      <c r="M59">
        <f t="shared" si="30"/>
        <v>3544.7999999999997</v>
      </c>
      <c r="N59">
        <f t="shared" si="31"/>
        <v>3108</v>
      </c>
      <c r="O59">
        <f t="shared" si="32"/>
        <v>2405.4</v>
      </c>
      <c r="P59">
        <f t="shared" si="33"/>
        <v>3427</v>
      </c>
      <c r="Q59">
        <f t="shared" si="34"/>
        <v>2658.6000000000004</v>
      </c>
      <c r="R59">
        <f t="shared" si="35"/>
        <v>4109.2</v>
      </c>
      <c r="T59">
        <f t="shared" si="36"/>
        <v>29279.719800000003</v>
      </c>
      <c r="U59">
        <f t="shared" si="37"/>
        <v>858446.36499999976</v>
      </c>
      <c r="V59">
        <f t="shared" si="38"/>
        <v>182220.44400000002</v>
      </c>
      <c r="W59">
        <f t="shared" si="39"/>
        <v>6163.7999999999993</v>
      </c>
      <c r="X59">
        <f t="shared" si="40"/>
        <v>1923</v>
      </c>
      <c r="Y59">
        <f t="shared" si="41"/>
        <v>1078033</v>
      </c>
    </row>
    <row r="60" spans="1:25" ht="15.75" customHeight="1" x14ac:dyDescent="0.3">
      <c r="A60">
        <v>56</v>
      </c>
      <c r="B60" t="s">
        <v>110</v>
      </c>
      <c r="C60" t="s">
        <v>104</v>
      </c>
      <c r="D60">
        <v>1124800</v>
      </c>
      <c r="E60">
        <f t="shared" si="46"/>
        <v>2620</v>
      </c>
      <c r="F60">
        <f t="shared" si="47"/>
        <v>1276</v>
      </c>
      <c r="G60">
        <f t="shared" si="48"/>
        <v>1276</v>
      </c>
      <c r="H60">
        <f t="shared" si="49"/>
        <v>1357</v>
      </c>
      <c r="J60" s="3">
        <f t="shared" si="27"/>
        <v>26280</v>
      </c>
      <c r="K60" s="3">
        <f t="shared" si="28"/>
        <v>6460</v>
      </c>
      <c r="L60" s="3">
        <f t="shared" si="29"/>
        <v>6550</v>
      </c>
      <c r="M60">
        <f t="shared" si="30"/>
        <v>3572.7999999999997</v>
      </c>
      <c r="N60">
        <f t="shared" si="31"/>
        <v>3144</v>
      </c>
      <c r="O60">
        <f t="shared" si="32"/>
        <v>2424.4</v>
      </c>
      <c r="P60">
        <f t="shared" si="33"/>
        <v>3452</v>
      </c>
      <c r="Q60">
        <f t="shared" si="34"/>
        <v>2679.6000000000004</v>
      </c>
      <c r="R60">
        <f t="shared" si="35"/>
        <v>4151.2</v>
      </c>
      <c r="T60">
        <f t="shared" si="36"/>
        <v>29834.632800000003</v>
      </c>
      <c r="U60">
        <f t="shared" si="37"/>
        <v>873597.63999999978</v>
      </c>
      <c r="V60">
        <f t="shared" si="38"/>
        <v>184999.58400000003</v>
      </c>
      <c r="W60">
        <f t="shared" si="39"/>
        <v>6226.7999999999993</v>
      </c>
      <c r="X60">
        <f t="shared" si="40"/>
        <v>1938</v>
      </c>
      <c r="Y60">
        <f t="shared" si="41"/>
        <v>1096596</v>
      </c>
    </row>
    <row r="61" spans="1:25" ht="15.75" customHeight="1" x14ac:dyDescent="0.3">
      <c r="A61">
        <v>57</v>
      </c>
      <c r="B61" t="s">
        <v>111</v>
      </c>
      <c r="C61" t="s">
        <v>104</v>
      </c>
      <c r="D61">
        <v>1217450</v>
      </c>
      <c r="E61">
        <f t="shared" si="46"/>
        <v>2650</v>
      </c>
      <c r="F61">
        <f t="shared" si="47"/>
        <v>1286</v>
      </c>
      <c r="G61">
        <f t="shared" si="48"/>
        <v>1286</v>
      </c>
      <c r="H61">
        <f t="shared" si="49"/>
        <v>1367</v>
      </c>
      <c r="J61" s="3">
        <f t="shared" si="27"/>
        <v>26580</v>
      </c>
      <c r="K61" s="3">
        <f t="shared" si="28"/>
        <v>6510</v>
      </c>
      <c r="L61" s="3">
        <f t="shared" si="29"/>
        <v>6625</v>
      </c>
      <c r="M61">
        <f t="shared" si="30"/>
        <v>3600.7999999999997</v>
      </c>
      <c r="N61">
        <f t="shared" si="31"/>
        <v>3180</v>
      </c>
      <c r="O61">
        <f t="shared" si="32"/>
        <v>2443.4</v>
      </c>
      <c r="P61">
        <f t="shared" si="33"/>
        <v>3477</v>
      </c>
      <c r="Q61">
        <f t="shared" si="34"/>
        <v>2700.6</v>
      </c>
      <c r="R61">
        <f t="shared" si="35"/>
        <v>4193.2</v>
      </c>
      <c r="T61">
        <f t="shared" si="36"/>
        <v>30394.495800000001</v>
      </c>
      <c r="U61">
        <f t="shared" si="37"/>
        <v>888877.6649999998</v>
      </c>
      <c r="V61">
        <f t="shared" si="38"/>
        <v>187799.72399999999</v>
      </c>
      <c r="W61">
        <f t="shared" si="39"/>
        <v>6289.7999999999993</v>
      </c>
      <c r="X61">
        <f t="shared" si="40"/>
        <v>1953</v>
      </c>
      <c r="Y61">
        <f t="shared" si="41"/>
        <v>1115314</v>
      </c>
    </row>
    <row r="62" spans="1:25" ht="15.75" customHeight="1" x14ac:dyDescent="0.3">
      <c r="A62">
        <v>58</v>
      </c>
      <c r="B62" t="s">
        <v>112</v>
      </c>
      <c r="C62" t="s">
        <v>104</v>
      </c>
      <c r="D62">
        <v>1310100</v>
      </c>
      <c r="E62">
        <f t="shared" si="46"/>
        <v>2680</v>
      </c>
      <c r="F62">
        <f t="shared" si="47"/>
        <v>1296</v>
      </c>
      <c r="G62">
        <f t="shared" si="48"/>
        <v>1296</v>
      </c>
      <c r="H62">
        <f t="shared" si="49"/>
        <v>1377</v>
      </c>
      <c r="J62" s="3">
        <f t="shared" si="27"/>
        <v>26880</v>
      </c>
      <c r="K62" s="3">
        <f t="shared" si="28"/>
        <v>6560</v>
      </c>
      <c r="L62" s="3">
        <f t="shared" si="29"/>
        <v>6700</v>
      </c>
      <c r="M62">
        <f t="shared" si="30"/>
        <v>3628.7999999999997</v>
      </c>
      <c r="N62">
        <f t="shared" si="31"/>
        <v>3216</v>
      </c>
      <c r="O62">
        <f t="shared" si="32"/>
        <v>2462.4</v>
      </c>
      <c r="P62">
        <f t="shared" si="33"/>
        <v>3502</v>
      </c>
      <c r="Q62">
        <f t="shared" si="34"/>
        <v>2721.6</v>
      </c>
      <c r="R62">
        <f t="shared" si="35"/>
        <v>4235.2</v>
      </c>
      <c r="T62">
        <f t="shared" si="36"/>
        <v>30959.308799999999</v>
      </c>
      <c r="U62">
        <f t="shared" si="37"/>
        <v>904286.43999999983</v>
      </c>
      <c r="V62">
        <f t="shared" si="38"/>
        <v>190620.86399999997</v>
      </c>
      <c r="W62">
        <f t="shared" si="39"/>
        <v>6352.7999999999993</v>
      </c>
      <c r="X62">
        <f t="shared" si="40"/>
        <v>1968</v>
      </c>
      <c r="Y62">
        <f t="shared" si="41"/>
        <v>1134187</v>
      </c>
    </row>
    <row r="63" spans="1:25" ht="15.75" customHeight="1" x14ac:dyDescent="0.3">
      <c r="A63">
        <v>59</v>
      </c>
      <c r="B63" t="s">
        <v>113</v>
      </c>
      <c r="C63" t="s">
        <v>104</v>
      </c>
      <c r="D63">
        <v>1402750</v>
      </c>
      <c r="E63">
        <f t="shared" si="46"/>
        <v>2710</v>
      </c>
      <c r="F63">
        <f t="shared" si="47"/>
        <v>1306</v>
      </c>
      <c r="G63">
        <f t="shared" si="48"/>
        <v>1306</v>
      </c>
      <c r="H63">
        <f t="shared" si="49"/>
        <v>1387</v>
      </c>
      <c r="J63" s="3">
        <f t="shared" si="27"/>
        <v>27180</v>
      </c>
      <c r="K63" s="3">
        <f t="shared" si="28"/>
        <v>6610</v>
      </c>
      <c r="L63" s="3">
        <f t="shared" si="29"/>
        <v>6775</v>
      </c>
      <c r="M63">
        <f t="shared" si="30"/>
        <v>3656.7999999999997</v>
      </c>
      <c r="N63">
        <f t="shared" si="31"/>
        <v>3252</v>
      </c>
      <c r="O63">
        <f t="shared" si="32"/>
        <v>2481.4</v>
      </c>
      <c r="P63">
        <f t="shared" si="33"/>
        <v>3527</v>
      </c>
      <c r="Q63">
        <f t="shared" si="34"/>
        <v>2742.6</v>
      </c>
      <c r="R63">
        <f t="shared" si="35"/>
        <v>4277.2</v>
      </c>
      <c r="T63">
        <f t="shared" si="36"/>
        <v>31529.071799999994</v>
      </c>
      <c r="U63">
        <f t="shared" si="37"/>
        <v>919823.96499999985</v>
      </c>
      <c r="V63">
        <f t="shared" si="38"/>
        <v>193463.00399999999</v>
      </c>
      <c r="W63">
        <f t="shared" si="39"/>
        <v>6415.7999999999993</v>
      </c>
      <c r="X63">
        <f t="shared" si="40"/>
        <v>1983</v>
      </c>
      <c r="Y63">
        <f t="shared" si="41"/>
        <v>1153214</v>
      </c>
    </row>
    <row r="64" spans="1:25" ht="15.75" customHeight="1" x14ac:dyDescent="0.3">
      <c r="A64">
        <v>60</v>
      </c>
      <c r="B64" t="s">
        <v>114</v>
      </c>
      <c r="C64" t="s">
        <v>115</v>
      </c>
      <c r="D64">
        <v>1495400</v>
      </c>
      <c r="E64">
        <f>E63*1.5</f>
        <v>4065</v>
      </c>
      <c r="F64">
        <f>F63*1.5</f>
        <v>1959</v>
      </c>
      <c r="G64">
        <f>G63*1.5</f>
        <v>1959</v>
      </c>
      <c r="H64">
        <f>H63*1.5</f>
        <v>2080.5</v>
      </c>
      <c r="J64" s="3">
        <f t="shared" si="27"/>
        <v>40730</v>
      </c>
      <c r="K64" s="3">
        <f t="shared" si="28"/>
        <v>9875</v>
      </c>
      <c r="L64" s="3">
        <f t="shared" si="29"/>
        <v>10162.5</v>
      </c>
      <c r="M64">
        <f t="shared" si="30"/>
        <v>5485.2</v>
      </c>
      <c r="N64">
        <f t="shared" si="31"/>
        <v>4878</v>
      </c>
      <c r="O64">
        <f t="shared" si="32"/>
        <v>3722.1000000000004</v>
      </c>
      <c r="P64">
        <f t="shared" si="33"/>
        <v>5240.5</v>
      </c>
      <c r="Q64">
        <f t="shared" si="34"/>
        <v>4113.8999999999996</v>
      </c>
      <c r="R64">
        <f t="shared" si="35"/>
        <v>6415.7999999999993</v>
      </c>
      <c r="T64">
        <f t="shared" si="36"/>
        <v>64761.310949999999</v>
      </c>
      <c r="U64">
        <f t="shared" si="37"/>
        <v>2050044.2962500001</v>
      </c>
      <c r="V64">
        <f t="shared" si="38"/>
        <v>431177.859</v>
      </c>
      <c r="W64">
        <f t="shared" si="39"/>
        <v>9623.6999999999989</v>
      </c>
      <c r="X64">
        <f t="shared" si="40"/>
        <v>2962.5</v>
      </c>
      <c r="Y64">
        <f t="shared" si="41"/>
        <v>2558569</v>
      </c>
    </row>
    <row r="65" spans="1:25" ht="15.75" customHeight="1" x14ac:dyDescent="0.3">
      <c r="A65">
        <v>61</v>
      </c>
      <c r="B65" t="s">
        <v>116</v>
      </c>
      <c r="C65" t="s">
        <v>115</v>
      </c>
      <c r="D65">
        <v>1619600</v>
      </c>
      <c r="E65">
        <f t="shared" ref="E65:E73" si="50">E64+40</f>
        <v>4105</v>
      </c>
      <c r="F65">
        <f t="shared" ref="F65:F73" si="51">F64+20</f>
        <v>1979</v>
      </c>
      <c r="G65">
        <f t="shared" ref="G65:G73" si="52">G64+20</f>
        <v>1979</v>
      </c>
      <c r="H65">
        <f t="shared" ref="H65:H73" si="53">H64+20</f>
        <v>2100.5</v>
      </c>
      <c r="J65" s="3">
        <f t="shared" si="27"/>
        <v>41130</v>
      </c>
      <c r="K65" s="3">
        <f t="shared" si="28"/>
        <v>9975</v>
      </c>
      <c r="L65" s="3">
        <f t="shared" si="29"/>
        <v>10262.5</v>
      </c>
      <c r="M65">
        <f t="shared" si="30"/>
        <v>5541.2</v>
      </c>
      <c r="N65">
        <f t="shared" si="31"/>
        <v>4926</v>
      </c>
      <c r="O65">
        <f t="shared" si="32"/>
        <v>3760.1000000000004</v>
      </c>
      <c r="P65">
        <f t="shared" si="33"/>
        <v>5290.5</v>
      </c>
      <c r="Q65">
        <f t="shared" si="34"/>
        <v>4155.8999999999996</v>
      </c>
      <c r="R65">
        <f t="shared" si="35"/>
        <v>6479.7999999999993</v>
      </c>
      <c r="T65">
        <f t="shared" si="36"/>
        <v>65927.893949999998</v>
      </c>
      <c r="U65">
        <f t="shared" si="37"/>
        <v>2090236.8712500003</v>
      </c>
      <c r="V65">
        <f t="shared" si="38"/>
        <v>439735.77899999998</v>
      </c>
      <c r="W65">
        <f t="shared" si="39"/>
        <v>9719.6999999999989</v>
      </c>
      <c r="X65">
        <f t="shared" si="40"/>
        <v>2992.5</v>
      </c>
      <c r="Y65">
        <f t="shared" si="41"/>
        <v>2608612</v>
      </c>
    </row>
    <row r="66" spans="1:25" ht="15.75" customHeight="1" x14ac:dyDescent="0.3">
      <c r="A66">
        <v>62</v>
      </c>
      <c r="B66" t="s">
        <v>117</v>
      </c>
      <c r="C66" t="s">
        <v>115</v>
      </c>
      <c r="D66">
        <v>1743800</v>
      </c>
      <c r="E66">
        <f t="shared" si="50"/>
        <v>4145</v>
      </c>
      <c r="F66">
        <f t="shared" si="51"/>
        <v>1999</v>
      </c>
      <c r="G66">
        <f t="shared" si="52"/>
        <v>1999</v>
      </c>
      <c r="H66">
        <f t="shared" si="53"/>
        <v>2120.5</v>
      </c>
      <c r="J66" s="3">
        <f t="shared" si="27"/>
        <v>41530</v>
      </c>
      <c r="K66" s="3">
        <f t="shared" si="28"/>
        <v>10075</v>
      </c>
      <c r="L66" s="3">
        <f t="shared" si="29"/>
        <v>10362.5</v>
      </c>
      <c r="M66">
        <f t="shared" si="30"/>
        <v>5597.2</v>
      </c>
      <c r="N66">
        <f t="shared" si="31"/>
        <v>4974</v>
      </c>
      <c r="O66">
        <f t="shared" si="32"/>
        <v>3798.1000000000004</v>
      </c>
      <c r="P66">
        <f t="shared" si="33"/>
        <v>5340.5</v>
      </c>
      <c r="Q66">
        <f t="shared" si="34"/>
        <v>4197.8999999999996</v>
      </c>
      <c r="R66">
        <f t="shared" si="35"/>
        <v>6543.7999999999993</v>
      </c>
      <c r="T66">
        <f t="shared" si="36"/>
        <v>67104.796950000004</v>
      </c>
      <c r="U66">
        <f t="shared" si="37"/>
        <v>2130819.4462500005</v>
      </c>
      <c r="V66">
        <f t="shared" si="38"/>
        <v>448377.69899999996</v>
      </c>
      <c r="W66">
        <f t="shared" si="39"/>
        <v>9815.6999999999989</v>
      </c>
      <c r="X66">
        <f t="shared" si="40"/>
        <v>3022.5</v>
      </c>
      <c r="Y66">
        <f t="shared" si="41"/>
        <v>2659140</v>
      </c>
    </row>
    <row r="67" spans="1:25" ht="15.75" customHeight="1" x14ac:dyDescent="0.3">
      <c r="A67">
        <v>63</v>
      </c>
      <c r="B67" t="s">
        <v>118</v>
      </c>
      <c r="C67" t="s">
        <v>115</v>
      </c>
      <c r="D67">
        <v>1868000</v>
      </c>
      <c r="E67">
        <f t="shared" si="50"/>
        <v>4185</v>
      </c>
      <c r="F67">
        <f t="shared" si="51"/>
        <v>2019</v>
      </c>
      <c r="G67">
        <f t="shared" si="52"/>
        <v>2019</v>
      </c>
      <c r="H67">
        <f t="shared" si="53"/>
        <v>2140.5</v>
      </c>
      <c r="J67" s="3">
        <f t="shared" si="27"/>
        <v>41930</v>
      </c>
      <c r="K67" s="3">
        <f t="shared" si="28"/>
        <v>10175</v>
      </c>
      <c r="L67" s="3">
        <f t="shared" si="29"/>
        <v>10462.5</v>
      </c>
      <c r="M67">
        <f t="shared" si="30"/>
        <v>5653.2</v>
      </c>
      <c r="N67">
        <f t="shared" si="31"/>
        <v>5022</v>
      </c>
      <c r="O67">
        <f t="shared" si="32"/>
        <v>3836.1000000000004</v>
      </c>
      <c r="P67">
        <f t="shared" si="33"/>
        <v>5390.5</v>
      </c>
      <c r="Q67">
        <f t="shared" si="34"/>
        <v>4239.8999999999996</v>
      </c>
      <c r="R67">
        <f t="shared" si="35"/>
        <v>6607.7999999999993</v>
      </c>
      <c r="T67">
        <f t="shared" si="36"/>
        <v>68292.019950000002</v>
      </c>
      <c r="U67">
        <f t="shared" si="37"/>
        <v>2171792.0212500002</v>
      </c>
      <c r="V67">
        <f t="shared" si="38"/>
        <v>457103.61900000001</v>
      </c>
      <c r="W67">
        <f t="shared" si="39"/>
        <v>9911.6999999999989</v>
      </c>
      <c r="X67">
        <f t="shared" si="40"/>
        <v>3052.5</v>
      </c>
      <c r="Y67">
        <f t="shared" si="41"/>
        <v>2710151</v>
      </c>
    </row>
    <row r="68" spans="1:25" ht="15.75" customHeight="1" x14ac:dyDescent="0.3">
      <c r="A68">
        <v>64</v>
      </c>
      <c r="B68" t="s">
        <v>119</v>
      </c>
      <c r="C68" t="s">
        <v>115</v>
      </c>
      <c r="D68">
        <v>1992900</v>
      </c>
      <c r="E68">
        <f t="shared" si="50"/>
        <v>4225</v>
      </c>
      <c r="F68">
        <f t="shared" si="51"/>
        <v>2039</v>
      </c>
      <c r="G68">
        <f t="shared" si="52"/>
        <v>2039</v>
      </c>
      <c r="H68">
        <f t="shared" si="53"/>
        <v>2160.5</v>
      </c>
      <c r="J68" s="3">
        <f t="shared" si="27"/>
        <v>42330</v>
      </c>
      <c r="K68" s="3">
        <f t="shared" si="28"/>
        <v>10275</v>
      </c>
      <c r="L68" s="3">
        <f t="shared" si="29"/>
        <v>10562.5</v>
      </c>
      <c r="M68">
        <f t="shared" si="30"/>
        <v>5709.2</v>
      </c>
      <c r="N68">
        <f t="shared" si="31"/>
        <v>5070</v>
      </c>
      <c r="O68">
        <f t="shared" si="32"/>
        <v>3874.1000000000004</v>
      </c>
      <c r="P68">
        <f t="shared" si="33"/>
        <v>5440.5</v>
      </c>
      <c r="Q68">
        <f t="shared" si="34"/>
        <v>4281.8999999999996</v>
      </c>
      <c r="R68">
        <f t="shared" si="35"/>
        <v>6671.7999999999993</v>
      </c>
      <c r="T68">
        <f t="shared" si="36"/>
        <v>69489.562950000007</v>
      </c>
      <c r="U68">
        <f t="shared" si="37"/>
        <v>2213154.5962500004</v>
      </c>
      <c r="V68">
        <f t="shared" si="38"/>
        <v>465913.53899999999</v>
      </c>
      <c r="W68">
        <f t="shared" si="39"/>
        <v>10007.699999999999</v>
      </c>
      <c r="X68">
        <f t="shared" si="40"/>
        <v>3082.5</v>
      </c>
      <c r="Y68">
        <f t="shared" si="41"/>
        <v>2761647</v>
      </c>
    </row>
    <row r="69" spans="1:25" ht="15.75" customHeight="1" x14ac:dyDescent="0.3">
      <c r="A69">
        <v>65</v>
      </c>
      <c r="B69" t="s">
        <v>120</v>
      </c>
      <c r="C69" t="s">
        <v>115</v>
      </c>
      <c r="D69">
        <v>2117800</v>
      </c>
      <c r="E69">
        <f t="shared" si="50"/>
        <v>4265</v>
      </c>
      <c r="F69">
        <f t="shared" si="51"/>
        <v>2059</v>
      </c>
      <c r="G69">
        <f t="shared" si="52"/>
        <v>2059</v>
      </c>
      <c r="H69">
        <f t="shared" si="53"/>
        <v>2180.5</v>
      </c>
      <c r="J69" s="3">
        <f t="shared" ref="J69:J94" si="54">80 +E69*10</f>
        <v>42730</v>
      </c>
      <c r="K69" s="3">
        <f t="shared" ref="K69:K94" si="55">80 +F69*5</f>
        <v>10375</v>
      </c>
      <c r="L69" s="3">
        <f t="shared" ref="L69:L94" si="56">E69*2.5</f>
        <v>10662.5</v>
      </c>
      <c r="M69">
        <f t="shared" ref="M69:M94" si="57">F69*2.3+G69*0.5</f>
        <v>5765.2</v>
      </c>
      <c r="N69">
        <f t="shared" ref="N69:N94" si="58">E69*1.2</f>
        <v>5118</v>
      </c>
      <c r="O69">
        <f t="shared" ref="O69:O94" si="59">F69*1.1+G69*0.8</f>
        <v>3912.1000000000004</v>
      </c>
      <c r="P69">
        <f t="shared" ref="P69:P94" si="60">100+H69*2 + G69*0.5</f>
        <v>5490.5</v>
      </c>
      <c r="Q69">
        <f t="shared" ref="Q69:Q94" si="61">G69*1.6+F69*0.5</f>
        <v>4323.8999999999996</v>
      </c>
      <c r="R69">
        <f t="shared" ref="R69:R94" si="62">G69*1.2 + E69</f>
        <v>6735.7999999999993</v>
      </c>
      <c r="T69">
        <f t="shared" ref="T69:T94" si="63">J69*(1+N69/1000*0.5 + O69/1000*0.5)*0.3</f>
        <v>70697.425950000004</v>
      </c>
      <c r="U69">
        <f t="shared" ref="U69:U94" si="64">(L69*0.5+M69*0.5)*P69/100*5</f>
        <v>2254907.1712500001</v>
      </c>
      <c r="V69">
        <f t="shared" ref="V69:V94" si="65">Q69*P69/100*2</f>
        <v>474807.45899999997</v>
      </c>
      <c r="W69">
        <f t="shared" ref="W69:W94" si="66">R69*1.5</f>
        <v>10103.699999999999</v>
      </c>
      <c r="X69">
        <f t="shared" ref="X69:X94" si="67">K69*0.3</f>
        <v>3112.5</v>
      </c>
      <c r="Y69">
        <f t="shared" ref="Y69:Y100" si="68">FLOOR(SUM(T69:X69),1)</f>
        <v>2813628</v>
      </c>
    </row>
    <row r="70" spans="1:25" ht="15.75" customHeight="1" x14ac:dyDescent="0.3">
      <c r="A70">
        <v>66</v>
      </c>
      <c r="B70" t="s">
        <v>121</v>
      </c>
      <c r="C70" t="s">
        <v>115</v>
      </c>
      <c r="D70">
        <v>2242700</v>
      </c>
      <c r="E70">
        <f t="shared" si="50"/>
        <v>4305</v>
      </c>
      <c r="F70">
        <f t="shared" si="51"/>
        <v>2079</v>
      </c>
      <c r="G70">
        <f t="shared" si="52"/>
        <v>2079</v>
      </c>
      <c r="H70">
        <f t="shared" si="53"/>
        <v>2200.5</v>
      </c>
      <c r="J70" s="3">
        <f t="shared" si="54"/>
        <v>43130</v>
      </c>
      <c r="K70" s="3">
        <f t="shared" si="55"/>
        <v>10475</v>
      </c>
      <c r="L70" s="3">
        <f t="shared" si="56"/>
        <v>10762.5</v>
      </c>
      <c r="M70">
        <f t="shared" si="57"/>
        <v>5821.2</v>
      </c>
      <c r="N70">
        <f t="shared" si="58"/>
        <v>5166</v>
      </c>
      <c r="O70">
        <f t="shared" si="59"/>
        <v>3950.1000000000004</v>
      </c>
      <c r="P70">
        <f t="shared" si="60"/>
        <v>5540.5</v>
      </c>
      <c r="Q70">
        <f t="shared" si="61"/>
        <v>4365.8999999999996</v>
      </c>
      <c r="R70">
        <f t="shared" si="62"/>
        <v>6799.7999999999993</v>
      </c>
      <c r="T70">
        <f t="shared" si="63"/>
        <v>71915.608950000009</v>
      </c>
      <c r="U70">
        <f t="shared" si="64"/>
        <v>2297049.7462500003</v>
      </c>
      <c r="V70">
        <f t="shared" si="65"/>
        <v>483785.37899999996</v>
      </c>
      <c r="W70">
        <f t="shared" si="66"/>
        <v>10199.699999999999</v>
      </c>
      <c r="X70">
        <f t="shared" si="67"/>
        <v>3142.5</v>
      </c>
      <c r="Y70">
        <f t="shared" si="68"/>
        <v>2866092</v>
      </c>
    </row>
    <row r="71" spans="1:25" ht="15.75" customHeight="1" x14ac:dyDescent="0.3">
      <c r="A71">
        <v>67</v>
      </c>
      <c r="B71" t="s">
        <v>122</v>
      </c>
      <c r="C71" t="s">
        <v>115</v>
      </c>
      <c r="D71">
        <v>2336925</v>
      </c>
      <c r="E71">
        <f t="shared" si="50"/>
        <v>4345</v>
      </c>
      <c r="F71">
        <f t="shared" si="51"/>
        <v>2099</v>
      </c>
      <c r="G71">
        <f t="shared" si="52"/>
        <v>2099</v>
      </c>
      <c r="H71">
        <f t="shared" si="53"/>
        <v>2220.5</v>
      </c>
      <c r="J71" s="3">
        <f t="shared" si="54"/>
        <v>43530</v>
      </c>
      <c r="K71" s="3">
        <f t="shared" si="55"/>
        <v>10575</v>
      </c>
      <c r="L71" s="3">
        <f t="shared" si="56"/>
        <v>10862.5</v>
      </c>
      <c r="M71">
        <f t="shared" si="57"/>
        <v>5877.2</v>
      </c>
      <c r="N71">
        <f t="shared" si="58"/>
        <v>5214</v>
      </c>
      <c r="O71">
        <f t="shared" si="59"/>
        <v>3988.1000000000004</v>
      </c>
      <c r="P71">
        <f t="shared" si="60"/>
        <v>5590.5</v>
      </c>
      <c r="Q71">
        <f t="shared" si="61"/>
        <v>4407.8999999999996</v>
      </c>
      <c r="R71">
        <f t="shared" si="62"/>
        <v>6863.7999999999993</v>
      </c>
      <c r="T71">
        <f t="shared" si="63"/>
        <v>73144.111950000006</v>
      </c>
      <c r="U71">
        <f t="shared" si="64"/>
        <v>2339582.32125</v>
      </c>
      <c r="V71">
        <f t="shared" si="65"/>
        <v>492847.299</v>
      </c>
      <c r="W71">
        <f t="shared" si="66"/>
        <v>10295.699999999999</v>
      </c>
      <c r="X71">
        <f t="shared" si="67"/>
        <v>3172.5</v>
      </c>
      <c r="Y71">
        <f t="shared" si="68"/>
        <v>2919041</v>
      </c>
    </row>
    <row r="72" spans="1:25" ht="15.75" customHeight="1" x14ac:dyDescent="0.3">
      <c r="A72">
        <v>68</v>
      </c>
      <c r="B72" t="s">
        <v>123</v>
      </c>
      <c r="C72" t="s">
        <v>115</v>
      </c>
      <c r="D72">
        <v>2431150</v>
      </c>
      <c r="E72">
        <f t="shared" si="50"/>
        <v>4385</v>
      </c>
      <c r="F72">
        <f t="shared" si="51"/>
        <v>2119</v>
      </c>
      <c r="G72">
        <f t="shared" si="52"/>
        <v>2119</v>
      </c>
      <c r="H72">
        <f t="shared" si="53"/>
        <v>2240.5</v>
      </c>
      <c r="J72" s="3">
        <f t="shared" si="54"/>
        <v>43930</v>
      </c>
      <c r="K72" s="3">
        <f t="shared" si="55"/>
        <v>10675</v>
      </c>
      <c r="L72" s="3">
        <f t="shared" si="56"/>
        <v>10962.5</v>
      </c>
      <c r="M72">
        <f t="shared" si="57"/>
        <v>5933.2</v>
      </c>
      <c r="N72">
        <f t="shared" si="58"/>
        <v>5262</v>
      </c>
      <c r="O72">
        <f t="shared" si="59"/>
        <v>4026.1000000000004</v>
      </c>
      <c r="P72">
        <f t="shared" si="60"/>
        <v>5640.5</v>
      </c>
      <c r="Q72">
        <f t="shared" si="61"/>
        <v>4449.8999999999996</v>
      </c>
      <c r="R72">
        <f t="shared" si="62"/>
        <v>6927.7999999999993</v>
      </c>
      <c r="T72">
        <f t="shared" si="63"/>
        <v>74382.934949999995</v>
      </c>
      <c r="U72">
        <f t="shared" si="64"/>
        <v>2382504.8962500002</v>
      </c>
      <c r="V72">
        <f t="shared" si="65"/>
        <v>501993.21899999998</v>
      </c>
      <c r="W72">
        <f t="shared" si="66"/>
        <v>10391.699999999999</v>
      </c>
      <c r="X72">
        <f t="shared" si="67"/>
        <v>3202.5</v>
      </c>
      <c r="Y72">
        <f t="shared" si="68"/>
        <v>2972475</v>
      </c>
    </row>
    <row r="73" spans="1:25" ht="15.75" customHeight="1" x14ac:dyDescent="0.3">
      <c r="A73">
        <v>69</v>
      </c>
      <c r="B73" t="s">
        <v>124</v>
      </c>
      <c r="C73" t="s">
        <v>115</v>
      </c>
      <c r="D73">
        <v>2525375</v>
      </c>
      <c r="E73">
        <f t="shared" si="50"/>
        <v>4425</v>
      </c>
      <c r="F73">
        <f t="shared" si="51"/>
        <v>2139</v>
      </c>
      <c r="G73">
        <f t="shared" si="52"/>
        <v>2139</v>
      </c>
      <c r="H73">
        <f t="shared" si="53"/>
        <v>2260.5</v>
      </c>
      <c r="J73" s="3">
        <f t="shared" si="54"/>
        <v>44330</v>
      </c>
      <c r="K73" s="3">
        <f t="shared" si="55"/>
        <v>10775</v>
      </c>
      <c r="L73" s="3">
        <f t="shared" si="56"/>
        <v>11062.5</v>
      </c>
      <c r="M73">
        <f t="shared" si="57"/>
        <v>5989.2</v>
      </c>
      <c r="N73">
        <f t="shared" si="58"/>
        <v>5310</v>
      </c>
      <c r="O73">
        <f t="shared" si="59"/>
        <v>4064.1000000000004</v>
      </c>
      <c r="P73">
        <f t="shared" si="60"/>
        <v>5690.5</v>
      </c>
      <c r="Q73">
        <f t="shared" si="61"/>
        <v>4491.8999999999996</v>
      </c>
      <c r="R73">
        <f t="shared" si="62"/>
        <v>6991.7999999999993</v>
      </c>
      <c r="T73">
        <f t="shared" si="63"/>
        <v>75632.077949999992</v>
      </c>
      <c r="U73">
        <f t="shared" si="64"/>
        <v>2425817.4712500004</v>
      </c>
      <c r="V73">
        <f t="shared" si="65"/>
        <v>511223.13899999997</v>
      </c>
      <c r="W73">
        <f t="shared" si="66"/>
        <v>10487.699999999999</v>
      </c>
      <c r="X73">
        <f t="shared" si="67"/>
        <v>3232.5</v>
      </c>
      <c r="Y73">
        <f t="shared" si="68"/>
        <v>3026392</v>
      </c>
    </row>
    <row r="74" spans="1:25" ht="15.75" customHeight="1" x14ac:dyDescent="0.3">
      <c r="A74">
        <v>70</v>
      </c>
      <c r="B74" t="s">
        <v>125</v>
      </c>
      <c r="C74" t="s">
        <v>126</v>
      </c>
      <c r="D74">
        <v>2619600</v>
      </c>
      <c r="E74">
        <f>E73*1.5</f>
        <v>6637.5</v>
      </c>
      <c r="F74">
        <f>F73*1.5</f>
        <v>3208.5</v>
      </c>
      <c r="G74">
        <f>G73*1.5</f>
        <v>3208.5</v>
      </c>
      <c r="H74">
        <f>H73*1.5</f>
        <v>3390.75</v>
      </c>
      <c r="J74" s="3">
        <f t="shared" si="54"/>
        <v>66455</v>
      </c>
      <c r="K74" s="3">
        <f t="shared" si="55"/>
        <v>16122.5</v>
      </c>
      <c r="L74" s="3">
        <f t="shared" si="56"/>
        <v>16593.75</v>
      </c>
      <c r="M74">
        <f t="shared" si="57"/>
        <v>8983.7999999999993</v>
      </c>
      <c r="N74">
        <f t="shared" si="58"/>
        <v>7965</v>
      </c>
      <c r="O74">
        <f t="shared" si="59"/>
        <v>6096.1500000000005</v>
      </c>
      <c r="P74">
        <f t="shared" si="60"/>
        <v>8485.75</v>
      </c>
      <c r="Q74">
        <f t="shared" si="61"/>
        <v>6737.85</v>
      </c>
      <c r="R74">
        <f t="shared" si="62"/>
        <v>10487.7</v>
      </c>
      <c r="T74">
        <f t="shared" si="63"/>
        <v>160101.55848750001</v>
      </c>
      <c r="U74">
        <f t="shared" si="64"/>
        <v>5426117.3728124993</v>
      </c>
      <c r="V74">
        <f t="shared" si="65"/>
        <v>1143514.2127499999</v>
      </c>
      <c r="W74">
        <f t="shared" si="66"/>
        <v>15731.550000000001</v>
      </c>
      <c r="X74">
        <f t="shared" si="67"/>
        <v>4836.75</v>
      </c>
      <c r="Y74">
        <f t="shared" si="68"/>
        <v>6750301</v>
      </c>
    </row>
    <row r="75" spans="1:25" ht="15.75" customHeight="1" x14ac:dyDescent="0.3">
      <c r="A75">
        <v>71</v>
      </c>
      <c r="B75" t="s">
        <v>127</v>
      </c>
      <c r="C75" t="s">
        <v>126</v>
      </c>
      <c r="D75">
        <v>2996500</v>
      </c>
      <c r="E75">
        <f t="shared" ref="E75:E83" si="69">E74+40</f>
        <v>6677.5</v>
      </c>
      <c r="F75">
        <f t="shared" ref="F75:F83" si="70">F74+20</f>
        <v>3228.5</v>
      </c>
      <c r="G75">
        <f t="shared" ref="G75:G83" si="71">G74+20</f>
        <v>3228.5</v>
      </c>
      <c r="H75">
        <f t="shared" ref="H75:H83" si="72">H74+20</f>
        <v>3410.75</v>
      </c>
      <c r="J75" s="3">
        <f t="shared" si="54"/>
        <v>66855</v>
      </c>
      <c r="K75" s="3">
        <f t="shared" si="55"/>
        <v>16222.5</v>
      </c>
      <c r="L75" s="3">
        <f t="shared" si="56"/>
        <v>16693.75</v>
      </c>
      <c r="M75">
        <f t="shared" si="57"/>
        <v>9039.7999999999993</v>
      </c>
      <c r="N75">
        <f t="shared" si="58"/>
        <v>8013</v>
      </c>
      <c r="O75">
        <f t="shared" si="59"/>
        <v>6134.1500000000005</v>
      </c>
      <c r="P75">
        <f t="shared" si="60"/>
        <v>8535.75</v>
      </c>
      <c r="Q75">
        <f t="shared" si="61"/>
        <v>6779.85</v>
      </c>
      <c r="R75">
        <f t="shared" si="62"/>
        <v>10551.7</v>
      </c>
      <c r="T75">
        <f t="shared" si="63"/>
        <v>161927.6569875</v>
      </c>
      <c r="U75">
        <f t="shared" si="64"/>
        <v>5491378.7353124991</v>
      </c>
      <c r="V75">
        <f t="shared" si="65"/>
        <v>1157422.0927500001</v>
      </c>
      <c r="W75">
        <f t="shared" si="66"/>
        <v>15827.550000000001</v>
      </c>
      <c r="X75">
        <f t="shared" si="67"/>
        <v>4866.75</v>
      </c>
      <c r="Y75">
        <f t="shared" si="68"/>
        <v>6831422</v>
      </c>
    </row>
    <row r="76" spans="1:25" ht="15.75" customHeight="1" x14ac:dyDescent="0.3">
      <c r="A76">
        <v>72</v>
      </c>
      <c r="B76" t="s">
        <v>128</v>
      </c>
      <c r="C76" t="s">
        <v>126</v>
      </c>
      <c r="D76">
        <v>3373400</v>
      </c>
      <c r="E76">
        <f t="shared" si="69"/>
        <v>6717.5</v>
      </c>
      <c r="F76">
        <f t="shared" si="70"/>
        <v>3248.5</v>
      </c>
      <c r="G76">
        <f t="shared" si="71"/>
        <v>3248.5</v>
      </c>
      <c r="H76">
        <f t="shared" si="72"/>
        <v>3430.75</v>
      </c>
      <c r="J76" s="3">
        <f t="shared" si="54"/>
        <v>67255</v>
      </c>
      <c r="K76" s="3">
        <f t="shared" si="55"/>
        <v>16322.5</v>
      </c>
      <c r="L76" s="3">
        <f t="shared" si="56"/>
        <v>16793.75</v>
      </c>
      <c r="M76">
        <f t="shared" si="57"/>
        <v>9095.7999999999993</v>
      </c>
      <c r="N76">
        <f t="shared" si="58"/>
        <v>8061</v>
      </c>
      <c r="O76">
        <f t="shared" si="59"/>
        <v>6172.1500000000005</v>
      </c>
      <c r="P76">
        <f t="shared" si="60"/>
        <v>8585.75</v>
      </c>
      <c r="Q76">
        <f t="shared" si="61"/>
        <v>6821.85</v>
      </c>
      <c r="R76">
        <f t="shared" si="62"/>
        <v>10615.7</v>
      </c>
      <c r="T76">
        <f t="shared" si="63"/>
        <v>163764.0754875</v>
      </c>
      <c r="U76">
        <f t="shared" si="64"/>
        <v>5557030.0978124999</v>
      </c>
      <c r="V76">
        <f t="shared" si="65"/>
        <v>1171413.97275</v>
      </c>
      <c r="W76">
        <f t="shared" si="66"/>
        <v>15923.550000000001</v>
      </c>
      <c r="X76">
        <f t="shared" si="67"/>
        <v>4896.75</v>
      </c>
      <c r="Y76">
        <f t="shared" si="68"/>
        <v>6913028</v>
      </c>
    </row>
    <row r="77" spans="1:25" ht="15.75" customHeight="1" x14ac:dyDescent="0.3">
      <c r="A77">
        <v>73</v>
      </c>
      <c r="B77" t="s">
        <v>129</v>
      </c>
      <c r="C77" t="s">
        <v>126</v>
      </c>
      <c r="D77">
        <v>3750300</v>
      </c>
      <c r="E77">
        <f t="shared" si="69"/>
        <v>6757.5</v>
      </c>
      <c r="F77">
        <f t="shared" si="70"/>
        <v>3268.5</v>
      </c>
      <c r="G77">
        <f t="shared" si="71"/>
        <v>3268.5</v>
      </c>
      <c r="H77">
        <f t="shared" si="72"/>
        <v>3450.75</v>
      </c>
      <c r="J77" s="3">
        <f t="shared" si="54"/>
        <v>67655</v>
      </c>
      <c r="K77" s="3">
        <f t="shared" si="55"/>
        <v>16422.5</v>
      </c>
      <c r="L77" s="3">
        <f t="shared" si="56"/>
        <v>16893.75</v>
      </c>
      <c r="M77">
        <f t="shared" si="57"/>
        <v>9151.7999999999993</v>
      </c>
      <c r="N77">
        <f t="shared" si="58"/>
        <v>8109</v>
      </c>
      <c r="O77">
        <f t="shared" si="59"/>
        <v>6210.1500000000005</v>
      </c>
      <c r="P77">
        <f t="shared" si="60"/>
        <v>8635.75</v>
      </c>
      <c r="Q77">
        <f t="shared" si="61"/>
        <v>6863.85</v>
      </c>
      <c r="R77">
        <f t="shared" si="62"/>
        <v>10679.7</v>
      </c>
      <c r="T77">
        <f t="shared" si="63"/>
        <v>165610.81398749998</v>
      </c>
      <c r="U77">
        <f t="shared" si="64"/>
        <v>5623071.4603125006</v>
      </c>
      <c r="V77">
        <f t="shared" si="65"/>
        <v>1185489.8527500001</v>
      </c>
      <c r="W77">
        <f t="shared" si="66"/>
        <v>16019.550000000001</v>
      </c>
      <c r="X77">
        <f t="shared" si="67"/>
        <v>4926.75</v>
      </c>
      <c r="Y77">
        <f t="shared" si="68"/>
        <v>6995118</v>
      </c>
    </row>
    <row r="78" spans="1:25" ht="15.75" customHeight="1" x14ac:dyDescent="0.3">
      <c r="A78">
        <v>74</v>
      </c>
      <c r="B78" t="s">
        <v>130</v>
      </c>
      <c r="C78" t="s">
        <v>126</v>
      </c>
      <c r="D78">
        <v>4128000</v>
      </c>
      <c r="E78">
        <f t="shared" si="69"/>
        <v>6797.5</v>
      </c>
      <c r="F78">
        <f t="shared" si="70"/>
        <v>3288.5</v>
      </c>
      <c r="G78">
        <f t="shared" si="71"/>
        <v>3288.5</v>
      </c>
      <c r="H78">
        <f t="shared" si="72"/>
        <v>3470.75</v>
      </c>
      <c r="J78" s="3">
        <f t="shared" si="54"/>
        <v>68055</v>
      </c>
      <c r="K78" s="3">
        <f t="shared" si="55"/>
        <v>16522.5</v>
      </c>
      <c r="L78" s="3">
        <f t="shared" si="56"/>
        <v>16993.75</v>
      </c>
      <c r="M78">
        <f t="shared" si="57"/>
        <v>9207.7999999999993</v>
      </c>
      <c r="N78">
        <f t="shared" si="58"/>
        <v>8157</v>
      </c>
      <c r="O78">
        <f t="shared" si="59"/>
        <v>6248.1500000000005</v>
      </c>
      <c r="P78">
        <f t="shared" si="60"/>
        <v>8685.75</v>
      </c>
      <c r="Q78">
        <f t="shared" si="61"/>
        <v>6905.85</v>
      </c>
      <c r="R78">
        <f t="shared" si="62"/>
        <v>10743.7</v>
      </c>
      <c r="T78">
        <f t="shared" si="63"/>
        <v>167467.87248749999</v>
      </c>
      <c r="U78">
        <f t="shared" si="64"/>
        <v>5689502.8228124995</v>
      </c>
      <c r="V78">
        <f t="shared" si="65"/>
        <v>1199649.73275</v>
      </c>
      <c r="W78">
        <f t="shared" si="66"/>
        <v>16115.550000000001</v>
      </c>
      <c r="X78">
        <f t="shared" si="67"/>
        <v>4956.75</v>
      </c>
      <c r="Y78">
        <f t="shared" si="68"/>
        <v>7077692</v>
      </c>
    </row>
    <row r="79" spans="1:25" ht="15.75" customHeight="1" x14ac:dyDescent="0.3">
      <c r="A79">
        <v>75</v>
      </c>
      <c r="B79" t="s">
        <v>131</v>
      </c>
      <c r="C79" t="s">
        <v>126</v>
      </c>
      <c r="D79">
        <v>4505700</v>
      </c>
      <c r="E79">
        <f t="shared" si="69"/>
        <v>6837.5</v>
      </c>
      <c r="F79">
        <f t="shared" si="70"/>
        <v>3308.5</v>
      </c>
      <c r="G79">
        <f t="shared" si="71"/>
        <v>3308.5</v>
      </c>
      <c r="H79">
        <f t="shared" si="72"/>
        <v>3490.75</v>
      </c>
      <c r="J79" s="3">
        <f t="shared" si="54"/>
        <v>68455</v>
      </c>
      <c r="K79" s="3">
        <f t="shared" si="55"/>
        <v>16622.5</v>
      </c>
      <c r="L79" s="3">
        <f t="shared" si="56"/>
        <v>17093.75</v>
      </c>
      <c r="M79">
        <f t="shared" si="57"/>
        <v>9263.7999999999993</v>
      </c>
      <c r="N79">
        <f t="shared" si="58"/>
        <v>8205</v>
      </c>
      <c r="O79">
        <f t="shared" si="59"/>
        <v>6286.1500000000005</v>
      </c>
      <c r="P79">
        <f t="shared" si="60"/>
        <v>8735.75</v>
      </c>
      <c r="Q79">
        <f t="shared" si="61"/>
        <v>6947.85</v>
      </c>
      <c r="R79">
        <f t="shared" si="62"/>
        <v>10807.7</v>
      </c>
      <c r="T79">
        <f t="shared" si="63"/>
        <v>169335.25098749998</v>
      </c>
      <c r="U79">
        <f t="shared" si="64"/>
        <v>5756324.1853125002</v>
      </c>
      <c r="V79">
        <f t="shared" si="65"/>
        <v>1213893.6127500001</v>
      </c>
      <c r="W79">
        <f t="shared" si="66"/>
        <v>16211.550000000001</v>
      </c>
      <c r="X79">
        <f t="shared" si="67"/>
        <v>4986.75</v>
      </c>
      <c r="Y79">
        <f t="shared" si="68"/>
        <v>7160751</v>
      </c>
    </row>
    <row r="80" spans="1:25" ht="15.75" customHeight="1" x14ac:dyDescent="0.3">
      <c r="A80">
        <v>76</v>
      </c>
      <c r="B80" t="s">
        <v>132</v>
      </c>
      <c r="C80" t="s">
        <v>126</v>
      </c>
      <c r="D80">
        <v>4883400</v>
      </c>
      <c r="E80">
        <f t="shared" si="69"/>
        <v>6877.5</v>
      </c>
      <c r="F80">
        <f t="shared" si="70"/>
        <v>3328.5</v>
      </c>
      <c r="G80">
        <f t="shared" si="71"/>
        <v>3328.5</v>
      </c>
      <c r="H80">
        <f t="shared" si="72"/>
        <v>3510.75</v>
      </c>
      <c r="J80" s="3">
        <f t="shared" si="54"/>
        <v>68855</v>
      </c>
      <c r="K80" s="3">
        <f t="shared" si="55"/>
        <v>16722.5</v>
      </c>
      <c r="L80" s="3">
        <f t="shared" si="56"/>
        <v>17193.75</v>
      </c>
      <c r="M80">
        <f t="shared" si="57"/>
        <v>9319.7999999999993</v>
      </c>
      <c r="N80">
        <f t="shared" si="58"/>
        <v>8253</v>
      </c>
      <c r="O80">
        <f t="shared" si="59"/>
        <v>6324.1500000000005</v>
      </c>
      <c r="P80">
        <f t="shared" si="60"/>
        <v>8785.75</v>
      </c>
      <c r="Q80">
        <f t="shared" si="61"/>
        <v>6989.85</v>
      </c>
      <c r="R80">
        <f t="shared" si="62"/>
        <v>10871.7</v>
      </c>
      <c r="T80">
        <f t="shared" si="63"/>
        <v>171212.94948749998</v>
      </c>
      <c r="U80">
        <f t="shared" si="64"/>
        <v>5823535.5478124991</v>
      </c>
      <c r="V80">
        <f t="shared" si="65"/>
        <v>1228221.49275</v>
      </c>
      <c r="W80">
        <f t="shared" si="66"/>
        <v>16307.550000000001</v>
      </c>
      <c r="X80">
        <f t="shared" si="67"/>
        <v>5016.75</v>
      </c>
      <c r="Y80">
        <f t="shared" si="68"/>
        <v>7244294</v>
      </c>
    </row>
    <row r="81" spans="1:25" ht="15.75" customHeight="1" x14ac:dyDescent="0.3">
      <c r="A81">
        <v>77</v>
      </c>
      <c r="B81" t="s">
        <v>133</v>
      </c>
      <c r="C81" t="s">
        <v>126</v>
      </c>
      <c r="D81">
        <v>5167300</v>
      </c>
      <c r="E81">
        <f t="shared" si="69"/>
        <v>6917.5</v>
      </c>
      <c r="F81">
        <f t="shared" si="70"/>
        <v>3348.5</v>
      </c>
      <c r="G81">
        <f t="shared" si="71"/>
        <v>3348.5</v>
      </c>
      <c r="H81">
        <f t="shared" si="72"/>
        <v>3530.75</v>
      </c>
      <c r="J81" s="3">
        <f t="shared" si="54"/>
        <v>69255</v>
      </c>
      <c r="K81" s="3">
        <f t="shared" si="55"/>
        <v>16822.5</v>
      </c>
      <c r="L81" s="3">
        <f t="shared" si="56"/>
        <v>17293.75</v>
      </c>
      <c r="M81">
        <f t="shared" si="57"/>
        <v>9375.7999999999993</v>
      </c>
      <c r="N81">
        <f t="shared" si="58"/>
        <v>8301</v>
      </c>
      <c r="O81">
        <f t="shared" si="59"/>
        <v>6362.1500000000005</v>
      </c>
      <c r="P81">
        <f t="shared" si="60"/>
        <v>8835.75</v>
      </c>
      <c r="Q81">
        <f t="shared" si="61"/>
        <v>7031.85</v>
      </c>
      <c r="R81">
        <f t="shared" si="62"/>
        <v>10935.7</v>
      </c>
      <c r="T81">
        <f t="shared" si="63"/>
        <v>173100.96798749999</v>
      </c>
      <c r="U81">
        <f t="shared" si="64"/>
        <v>5891136.9103124999</v>
      </c>
      <c r="V81">
        <f t="shared" si="65"/>
        <v>1242633.3727500001</v>
      </c>
      <c r="W81">
        <f t="shared" si="66"/>
        <v>16403.550000000003</v>
      </c>
      <c r="X81">
        <f t="shared" si="67"/>
        <v>5046.75</v>
      </c>
      <c r="Y81">
        <f t="shared" si="68"/>
        <v>7328321</v>
      </c>
    </row>
    <row r="82" spans="1:25" ht="15.75" customHeight="1" x14ac:dyDescent="0.3">
      <c r="A82">
        <v>78</v>
      </c>
      <c r="B82" t="s">
        <v>134</v>
      </c>
      <c r="C82" t="s">
        <v>126</v>
      </c>
      <c r="D82">
        <v>5451200</v>
      </c>
      <c r="E82">
        <f t="shared" si="69"/>
        <v>6957.5</v>
      </c>
      <c r="F82">
        <f t="shared" si="70"/>
        <v>3368.5</v>
      </c>
      <c r="G82">
        <f t="shared" si="71"/>
        <v>3368.5</v>
      </c>
      <c r="H82">
        <f t="shared" si="72"/>
        <v>3550.75</v>
      </c>
      <c r="J82" s="3">
        <f t="shared" si="54"/>
        <v>69655</v>
      </c>
      <c r="K82" s="3">
        <f t="shared" si="55"/>
        <v>16922.5</v>
      </c>
      <c r="L82" s="3">
        <f t="shared" si="56"/>
        <v>17393.75</v>
      </c>
      <c r="M82">
        <f t="shared" si="57"/>
        <v>9431.7999999999993</v>
      </c>
      <c r="N82">
        <f t="shared" si="58"/>
        <v>8349</v>
      </c>
      <c r="O82">
        <f t="shared" si="59"/>
        <v>6400.1500000000005</v>
      </c>
      <c r="P82">
        <f t="shared" si="60"/>
        <v>8885.75</v>
      </c>
      <c r="Q82">
        <f t="shared" si="61"/>
        <v>7073.85</v>
      </c>
      <c r="R82">
        <f t="shared" si="62"/>
        <v>10999.7</v>
      </c>
      <c r="T82">
        <f t="shared" si="63"/>
        <v>174999.3064875</v>
      </c>
      <c r="U82">
        <f t="shared" si="64"/>
        <v>5959128.2728125006</v>
      </c>
      <c r="V82">
        <f t="shared" si="65"/>
        <v>1257129.25275</v>
      </c>
      <c r="W82">
        <f t="shared" si="66"/>
        <v>16499.550000000003</v>
      </c>
      <c r="X82">
        <f t="shared" si="67"/>
        <v>5076.75</v>
      </c>
      <c r="Y82">
        <f t="shared" si="68"/>
        <v>7412833</v>
      </c>
    </row>
    <row r="83" spans="1:25" ht="15.75" customHeight="1" x14ac:dyDescent="0.3">
      <c r="A83">
        <v>79</v>
      </c>
      <c r="B83" t="s">
        <v>135</v>
      </c>
      <c r="C83" t="s">
        <v>126</v>
      </c>
      <c r="D83">
        <v>5735100</v>
      </c>
      <c r="E83">
        <f t="shared" si="69"/>
        <v>6997.5</v>
      </c>
      <c r="F83">
        <f t="shared" si="70"/>
        <v>3388.5</v>
      </c>
      <c r="G83">
        <f t="shared" si="71"/>
        <v>3388.5</v>
      </c>
      <c r="H83">
        <f t="shared" si="72"/>
        <v>3570.75</v>
      </c>
      <c r="J83" s="3">
        <f t="shared" si="54"/>
        <v>70055</v>
      </c>
      <c r="K83" s="3">
        <f t="shared" si="55"/>
        <v>17022.5</v>
      </c>
      <c r="L83" s="3">
        <f t="shared" si="56"/>
        <v>17493.75</v>
      </c>
      <c r="M83">
        <f t="shared" si="57"/>
        <v>9487.7999999999993</v>
      </c>
      <c r="N83">
        <f t="shared" si="58"/>
        <v>8397</v>
      </c>
      <c r="O83">
        <f t="shared" si="59"/>
        <v>6438.1500000000005</v>
      </c>
      <c r="P83">
        <f t="shared" si="60"/>
        <v>8935.75</v>
      </c>
      <c r="Q83">
        <f t="shared" si="61"/>
        <v>7115.85</v>
      </c>
      <c r="R83">
        <f t="shared" si="62"/>
        <v>11063.7</v>
      </c>
      <c r="T83">
        <f t="shared" si="63"/>
        <v>176907.96498749999</v>
      </c>
      <c r="U83">
        <f t="shared" si="64"/>
        <v>6027509.6353125004</v>
      </c>
      <c r="V83">
        <f t="shared" si="65"/>
        <v>1271709.1327500001</v>
      </c>
      <c r="W83">
        <f t="shared" si="66"/>
        <v>16595.550000000003</v>
      </c>
      <c r="X83">
        <f t="shared" si="67"/>
        <v>5106.75</v>
      </c>
      <c r="Y83">
        <f t="shared" si="68"/>
        <v>7497829</v>
      </c>
    </row>
    <row r="84" spans="1:25" ht="15.75" customHeight="1" x14ac:dyDescent="0.3">
      <c r="A84">
        <v>80</v>
      </c>
      <c r="B84" t="s">
        <v>136</v>
      </c>
      <c r="C84" t="s">
        <v>137</v>
      </c>
      <c r="D84">
        <v>6019000</v>
      </c>
      <c r="E84">
        <f>E83*1.5</f>
        <v>10496.25</v>
      </c>
      <c r="F84">
        <f>F83*1.5</f>
        <v>5082.75</v>
      </c>
      <c r="G84">
        <f>G83*1.5</f>
        <v>5082.75</v>
      </c>
      <c r="H84">
        <f>H83*1.5</f>
        <v>5356.125</v>
      </c>
      <c r="J84" s="3">
        <f t="shared" si="54"/>
        <v>105042.5</v>
      </c>
      <c r="K84" s="3">
        <f t="shared" si="55"/>
        <v>25493.75</v>
      </c>
      <c r="L84" s="3">
        <f t="shared" si="56"/>
        <v>26240.625</v>
      </c>
      <c r="M84">
        <f t="shared" si="57"/>
        <v>14231.699999999999</v>
      </c>
      <c r="N84">
        <f t="shared" si="58"/>
        <v>12595.5</v>
      </c>
      <c r="O84">
        <f t="shared" si="59"/>
        <v>9657.2250000000004</v>
      </c>
      <c r="P84">
        <f t="shared" si="60"/>
        <v>13353.625</v>
      </c>
      <c r="Q84">
        <f t="shared" si="61"/>
        <v>10673.775000000001</v>
      </c>
      <c r="R84">
        <f t="shared" si="62"/>
        <v>16595.55</v>
      </c>
      <c r="T84">
        <f t="shared" si="63"/>
        <v>382135.02987187501</v>
      </c>
      <c r="U84">
        <f t="shared" si="64"/>
        <v>13511306.273203121</v>
      </c>
      <c r="V84">
        <f t="shared" si="65"/>
        <v>2850671.7736875005</v>
      </c>
      <c r="W84">
        <f t="shared" si="66"/>
        <v>24893.324999999997</v>
      </c>
      <c r="X84">
        <f t="shared" si="67"/>
        <v>7648.125</v>
      </c>
      <c r="Y84">
        <f t="shared" si="68"/>
        <v>16776654</v>
      </c>
    </row>
    <row r="85" spans="1:25" ht="15.75" customHeight="1" x14ac:dyDescent="0.3">
      <c r="A85">
        <v>81</v>
      </c>
      <c r="B85" t="s">
        <v>138</v>
      </c>
      <c r="C85" t="s">
        <v>137</v>
      </c>
      <c r="D85">
        <v>6302900</v>
      </c>
      <c r="E85">
        <f t="shared" ref="E85:E94" si="73">E84+40</f>
        <v>10536.25</v>
      </c>
      <c r="F85">
        <f t="shared" ref="F85:F94" si="74">F84+20</f>
        <v>5102.75</v>
      </c>
      <c r="G85">
        <f t="shared" ref="G85:G94" si="75">G84+20</f>
        <v>5102.75</v>
      </c>
      <c r="H85">
        <f t="shared" ref="H85:H94" si="76">H84+20</f>
        <v>5376.125</v>
      </c>
      <c r="J85" s="3">
        <f t="shared" si="54"/>
        <v>105442.5</v>
      </c>
      <c r="K85" s="3">
        <f t="shared" si="55"/>
        <v>25593.75</v>
      </c>
      <c r="L85" s="3">
        <f t="shared" si="56"/>
        <v>26340.625</v>
      </c>
      <c r="M85">
        <f t="shared" si="57"/>
        <v>14287.699999999999</v>
      </c>
      <c r="N85">
        <f t="shared" si="58"/>
        <v>12643.5</v>
      </c>
      <c r="O85">
        <f t="shared" si="59"/>
        <v>9695.2250000000004</v>
      </c>
      <c r="P85">
        <f t="shared" si="60"/>
        <v>13403.625</v>
      </c>
      <c r="Q85">
        <f t="shared" si="61"/>
        <v>10715.775000000001</v>
      </c>
      <c r="R85">
        <f t="shared" si="62"/>
        <v>16659.55</v>
      </c>
      <c r="T85">
        <f t="shared" si="63"/>
        <v>384950.401621875</v>
      </c>
      <c r="U85">
        <f t="shared" si="64"/>
        <v>13614170.816953123</v>
      </c>
      <c r="V85">
        <f t="shared" si="65"/>
        <v>2872604.5936875003</v>
      </c>
      <c r="W85">
        <f t="shared" si="66"/>
        <v>24989.324999999997</v>
      </c>
      <c r="X85">
        <f t="shared" si="67"/>
        <v>7678.125</v>
      </c>
      <c r="Y85">
        <f t="shared" si="68"/>
        <v>16904393</v>
      </c>
    </row>
    <row r="86" spans="1:25" ht="15.75" customHeight="1" x14ac:dyDescent="0.3">
      <c r="A86">
        <v>82</v>
      </c>
      <c r="B86" t="s">
        <v>139</v>
      </c>
      <c r="C86" t="s">
        <v>137</v>
      </c>
      <c r="D86">
        <v>6586800</v>
      </c>
      <c r="E86">
        <f t="shared" si="73"/>
        <v>10576.25</v>
      </c>
      <c r="F86">
        <f t="shared" si="74"/>
        <v>5122.75</v>
      </c>
      <c r="G86">
        <f t="shared" si="75"/>
        <v>5122.75</v>
      </c>
      <c r="H86">
        <f t="shared" si="76"/>
        <v>5396.125</v>
      </c>
      <c r="J86" s="3">
        <f t="shared" si="54"/>
        <v>105842.5</v>
      </c>
      <c r="K86" s="3">
        <f t="shared" si="55"/>
        <v>25693.75</v>
      </c>
      <c r="L86" s="3">
        <f t="shared" si="56"/>
        <v>26440.625</v>
      </c>
      <c r="M86">
        <f t="shared" si="57"/>
        <v>14343.699999999999</v>
      </c>
      <c r="N86">
        <f t="shared" si="58"/>
        <v>12691.5</v>
      </c>
      <c r="O86">
        <f t="shared" si="59"/>
        <v>9733.2250000000004</v>
      </c>
      <c r="P86">
        <f t="shared" si="60"/>
        <v>13453.625</v>
      </c>
      <c r="Q86">
        <f t="shared" si="61"/>
        <v>10757.775</v>
      </c>
      <c r="R86">
        <f t="shared" si="62"/>
        <v>16723.55</v>
      </c>
      <c r="T86">
        <f t="shared" si="63"/>
        <v>387776.09337187506</v>
      </c>
      <c r="U86">
        <f t="shared" si="64"/>
        <v>13717425.360703124</v>
      </c>
      <c r="V86">
        <f t="shared" si="65"/>
        <v>2894621.4136874997</v>
      </c>
      <c r="W86">
        <f t="shared" si="66"/>
        <v>25085.324999999997</v>
      </c>
      <c r="X86">
        <f t="shared" si="67"/>
        <v>7708.125</v>
      </c>
      <c r="Y86">
        <f t="shared" si="68"/>
        <v>17032616</v>
      </c>
    </row>
    <row r="87" spans="1:25" ht="15.75" customHeight="1" x14ac:dyDescent="0.3">
      <c r="A87">
        <v>83</v>
      </c>
      <c r="B87" t="s">
        <v>140</v>
      </c>
      <c r="C87" t="s">
        <v>137</v>
      </c>
      <c r="D87">
        <v>6870700</v>
      </c>
      <c r="E87">
        <f t="shared" si="73"/>
        <v>10616.25</v>
      </c>
      <c r="F87">
        <f t="shared" si="74"/>
        <v>5142.75</v>
      </c>
      <c r="G87">
        <f t="shared" si="75"/>
        <v>5142.75</v>
      </c>
      <c r="H87">
        <f t="shared" si="76"/>
        <v>5416.125</v>
      </c>
      <c r="J87" s="3">
        <f t="shared" si="54"/>
        <v>106242.5</v>
      </c>
      <c r="K87" s="3">
        <f t="shared" si="55"/>
        <v>25793.75</v>
      </c>
      <c r="L87" s="3">
        <f t="shared" si="56"/>
        <v>26540.625</v>
      </c>
      <c r="M87">
        <f t="shared" si="57"/>
        <v>14399.699999999999</v>
      </c>
      <c r="N87">
        <f t="shared" si="58"/>
        <v>12739.5</v>
      </c>
      <c r="O87">
        <f t="shared" si="59"/>
        <v>9771.2250000000004</v>
      </c>
      <c r="P87">
        <f t="shared" si="60"/>
        <v>13503.625</v>
      </c>
      <c r="Q87">
        <f t="shared" si="61"/>
        <v>10799.775</v>
      </c>
      <c r="R87">
        <f t="shared" si="62"/>
        <v>16787.55</v>
      </c>
      <c r="T87">
        <f t="shared" si="63"/>
        <v>390612.10512187501</v>
      </c>
      <c r="U87">
        <f t="shared" si="64"/>
        <v>13821069.904453123</v>
      </c>
      <c r="V87">
        <f t="shared" si="65"/>
        <v>2916722.2336874995</v>
      </c>
      <c r="W87">
        <f t="shared" si="66"/>
        <v>25181.324999999997</v>
      </c>
      <c r="X87">
        <f t="shared" si="67"/>
        <v>7738.125</v>
      </c>
      <c r="Y87">
        <f t="shared" si="68"/>
        <v>17161323</v>
      </c>
    </row>
    <row r="88" spans="1:25" ht="15.75" customHeight="1" x14ac:dyDescent="0.3">
      <c r="A88">
        <v>84</v>
      </c>
      <c r="B88" t="s">
        <v>141</v>
      </c>
      <c r="C88" t="s">
        <v>137</v>
      </c>
      <c r="D88">
        <v>7154600</v>
      </c>
      <c r="E88">
        <f t="shared" si="73"/>
        <v>10656.25</v>
      </c>
      <c r="F88">
        <f t="shared" si="74"/>
        <v>5162.75</v>
      </c>
      <c r="G88">
        <f t="shared" si="75"/>
        <v>5162.75</v>
      </c>
      <c r="H88">
        <f t="shared" si="76"/>
        <v>5436.125</v>
      </c>
      <c r="J88" s="3">
        <f t="shared" si="54"/>
        <v>106642.5</v>
      </c>
      <c r="K88" s="3">
        <f t="shared" si="55"/>
        <v>25893.75</v>
      </c>
      <c r="L88" s="3">
        <f t="shared" si="56"/>
        <v>26640.625</v>
      </c>
      <c r="M88">
        <f t="shared" si="57"/>
        <v>14455.699999999999</v>
      </c>
      <c r="N88">
        <f t="shared" si="58"/>
        <v>12787.5</v>
      </c>
      <c r="O88">
        <f t="shared" si="59"/>
        <v>9809.2250000000004</v>
      </c>
      <c r="P88">
        <f t="shared" si="60"/>
        <v>13553.625</v>
      </c>
      <c r="Q88">
        <f t="shared" si="61"/>
        <v>10841.775</v>
      </c>
      <c r="R88">
        <f t="shared" si="62"/>
        <v>16851.55</v>
      </c>
      <c r="T88">
        <f t="shared" si="63"/>
        <v>393458.43687187496</v>
      </c>
      <c r="U88">
        <f t="shared" si="64"/>
        <v>13925104.448203124</v>
      </c>
      <c r="V88">
        <f t="shared" si="65"/>
        <v>2938907.0536874998</v>
      </c>
      <c r="W88">
        <f t="shared" si="66"/>
        <v>25277.324999999997</v>
      </c>
      <c r="X88">
        <f t="shared" si="67"/>
        <v>7768.125</v>
      </c>
      <c r="Y88">
        <f t="shared" si="68"/>
        <v>17290515</v>
      </c>
    </row>
    <row r="89" spans="1:25" ht="15.75" customHeight="1" x14ac:dyDescent="0.3">
      <c r="A89">
        <v>85</v>
      </c>
      <c r="B89" t="s">
        <v>142</v>
      </c>
      <c r="C89" t="s">
        <v>137</v>
      </c>
      <c r="D89">
        <v>7438500</v>
      </c>
      <c r="E89">
        <f t="shared" si="73"/>
        <v>10696.25</v>
      </c>
      <c r="F89">
        <f t="shared" si="74"/>
        <v>5182.75</v>
      </c>
      <c r="G89">
        <f t="shared" si="75"/>
        <v>5182.75</v>
      </c>
      <c r="H89">
        <f t="shared" si="76"/>
        <v>5456.125</v>
      </c>
      <c r="J89" s="3">
        <f t="shared" si="54"/>
        <v>107042.5</v>
      </c>
      <c r="K89" s="3">
        <f t="shared" si="55"/>
        <v>25993.75</v>
      </c>
      <c r="L89" s="3">
        <f t="shared" si="56"/>
        <v>26740.625</v>
      </c>
      <c r="M89">
        <f t="shared" si="57"/>
        <v>14511.699999999999</v>
      </c>
      <c r="N89">
        <f t="shared" si="58"/>
        <v>12835.5</v>
      </c>
      <c r="O89">
        <f t="shared" si="59"/>
        <v>9847.2250000000004</v>
      </c>
      <c r="P89">
        <f t="shared" si="60"/>
        <v>13603.625</v>
      </c>
      <c r="Q89">
        <f t="shared" si="61"/>
        <v>10883.775</v>
      </c>
      <c r="R89">
        <f t="shared" si="62"/>
        <v>16915.55</v>
      </c>
      <c r="T89">
        <f t="shared" si="63"/>
        <v>396315.08862187492</v>
      </c>
      <c r="U89">
        <f t="shared" si="64"/>
        <v>14029528.991953123</v>
      </c>
      <c r="V89">
        <f t="shared" si="65"/>
        <v>2961175.8736874997</v>
      </c>
      <c r="W89">
        <f t="shared" si="66"/>
        <v>25373.324999999997</v>
      </c>
      <c r="X89">
        <f t="shared" si="67"/>
        <v>7798.125</v>
      </c>
      <c r="Y89">
        <f t="shared" si="68"/>
        <v>17420191</v>
      </c>
    </row>
    <row r="90" spans="1:25" ht="15.75" customHeight="1" x14ac:dyDescent="0.3">
      <c r="A90">
        <v>86</v>
      </c>
      <c r="B90" t="s">
        <v>143</v>
      </c>
      <c r="C90" t="s">
        <v>137</v>
      </c>
      <c r="D90">
        <v>7722400</v>
      </c>
      <c r="E90">
        <f t="shared" si="73"/>
        <v>10736.25</v>
      </c>
      <c r="F90">
        <f t="shared" si="74"/>
        <v>5202.75</v>
      </c>
      <c r="G90">
        <f t="shared" si="75"/>
        <v>5202.75</v>
      </c>
      <c r="H90">
        <f t="shared" si="76"/>
        <v>5476.125</v>
      </c>
      <c r="J90" s="3">
        <f t="shared" si="54"/>
        <v>107442.5</v>
      </c>
      <c r="K90" s="3">
        <f t="shared" si="55"/>
        <v>26093.75</v>
      </c>
      <c r="L90" s="3">
        <f t="shared" si="56"/>
        <v>26840.625</v>
      </c>
      <c r="M90">
        <f t="shared" si="57"/>
        <v>14567.699999999999</v>
      </c>
      <c r="N90">
        <f t="shared" si="58"/>
        <v>12883.5</v>
      </c>
      <c r="O90">
        <f t="shared" si="59"/>
        <v>9885.2250000000004</v>
      </c>
      <c r="P90">
        <f t="shared" si="60"/>
        <v>13653.625</v>
      </c>
      <c r="Q90">
        <f t="shared" si="61"/>
        <v>10925.775</v>
      </c>
      <c r="R90">
        <f t="shared" si="62"/>
        <v>16979.55</v>
      </c>
      <c r="T90">
        <f t="shared" si="63"/>
        <v>399182.06037187501</v>
      </c>
      <c r="U90">
        <f t="shared" si="64"/>
        <v>14134343.535703123</v>
      </c>
      <c r="V90">
        <f t="shared" si="65"/>
        <v>2983528.6936875</v>
      </c>
      <c r="W90">
        <f t="shared" si="66"/>
        <v>25469.324999999997</v>
      </c>
      <c r="X90">
        <f t="shared" si="67"/>
        <v>7828.125</v>
      </c>
      <c r="Y90">
        <f t="shared" si="68"/>
        <v>17550351</v>
      </c>
    </row>
    <row r="91" spans="1:25" ht="15.75" customHeight="1" x14ac:dyDescent="0.3">
      <c r="A91">
        <v>87</v>
      </c>
      <c r="B91" t="s">
        <v>144</v>
      </c>
      <c r="C91" t="s">
        <v>137</v>
      </c>
      <c r="D91">
        <v>8006300</v>
      </c>
      <c r="E91">
        <f t="shared" si="73"/>
        <v>10776.25</v>
      </c>
      <c r="F91">
        <f t="shared" si="74"/>
        <v>5222.75</v>
      </c>
      <c r="G91">
        <f t="shared" si="75"/>
        <v>5222.75</v>
      </c>
      <c r="H91">
        <f t="shared" si="76"/>
        <v>5496.125</v>
      </c>
      <c r="J91" s="3">
        <f t="shared" si="54"/>
        <v>107842.5</v>
      </c>
      <c r="K91" s="3">
        <f t="shared" si="55"/>
        <v>26193.75</v>
      </c>
      <c r="L91" s="3">
        <f t="shared" si="56"/>
        <v>26940.625</v>
      </c>
      <c r="M91">
        <f t="shared" si="57"/>
        <v>14623.699999999999</v>
      </c>
      <c r="N91">
        <f t="shared" si="58"/>
        <v>12931.5</v>
      </c>
      <c r="O91">
        <f t="shared" si="59"/>
        <v>9923.2250000000004</v>
      </c>
      <c r="P91">
        <f t="shared" si="60"/>
        <v>13703.625</v>
      </c>
      <c r="Q91">
        <f t="shared" si="61"/>
        <v>10967.775</v>
      </c>
      <c r="R91">
        <f t="shared" si="62"/>
        <v>17043.55</v>
      </c>
      <c r="T91">
        <f t="shared" si="63"/>
        <v>402059.35212187504</v>
      </c>
      <c r="U91">
        <f t="shared" si="64"/>
        <v>14239548.079453122</v>
      </c>
      <c r="V91">
        <f t="shared" si="65"/>
        <v>3005965.5136874998</v>
      </c>
      <c r="W91">
        <f t="shared" si="66"/>
        <v>25565.324999999997</v>
      </c>
      <c r="X91">
        <f t="shared" si="67"/>
        <v>7858.125</v>
      </c>
      <c r="Y91">
        <f t="shared" si="68"/>
        <v>17680996</v>
      </c>
    </row>
    <row r="92" spans="1:25" ht="15.75" customHeight="1" x14ac:dyDescent="0.3">
      <c r="A92">
        <v>88</v>
      </c>
      <c r="B92" t="s">
        <v>145</v>
      </c>
      <c r="C92" t="s">
        <v>137</v>
      </c>
      <c r="D92">
        <v>8290200</v>
      </c>
      <c r="E92">
        <f t="shared" si="73"/>
        <v>10816.25</v>
      </c>
      <c r="F92">
        <f t="shared" si="74"/>
        <v>5242.75</v>
      </c>
      <c r="G92">
        <f t="shared" si="75"/>
        <v>5242.75</v>
      </c>
      <c r="H92">
        <f t="shared" si="76"/>
        <v>5516.125</v>
      </c>
      <c r="J92" s="3">
        <f t="shared" si="54"/>
        <v>108242.5</v>
      </c>
      <c r="K92" s="3">
        <f t="shared" si="55"/>
        <v>26293.75</v>
      </c>
      <c r="L92" s="3">
        <f t="shared" si="56"/>
        <v>27040.625</v>
      </c>
      <c r="M92">
        <f t="shared" si="57"/>
        <v>14679.699999999999</v>
      </c>
      <c r="N92">
        <f t="shared" si="58"/>
        <v>12979.5</v>
      </c>
      <c r="O92">
        <f t="shared" si="59"/>
        <v>9961.2250000000004</v>
      </c>
      <c r="P92">
        <f t="shared" si="60"/>
        <v>13753.625</v>
      </c>
      <c r="Q92">
        <f t="shared" si="61"/>
        <v>11009.775</v>
      </c>
      <c r="R92">
        <f t="shared" si="62"/>
        <v>17107.55</v>
      </c>
      <c r="T92">
        <f t="shared" si="63"/>
        <v>404946.96387187502</v>
      </c>
      <c r="U92">
        <f t="shared" si="64"/>
        <v>14345142.623203121</v>
      </c>
      <c r="V92">
        <f t="shared" si="65"/>
        <v>3028486.3336874996</v>
      </c>
      <c r="W92">
        <f t="shared" si="66"/>
        <v>25661.324999999997</v>
      </c>
      <c r="X92">
        <f t="shared" si="67"/>
        <v>7888.125</v>
      </c>
      <c r="Y92">
        <f t="shared" si="68"/>
        <v>17812125</v>
      </c>
    </row>
    <row r="93" spans="1:25" ht="15.75" customHeight="1" x14ac:dyDescent="0.3">
      <c r="A93">
        <v>89</v>
      </c>
      <c r="B93" t="s">
        <v>146</v>
      </c>
      <c r="C93" t="s">
        <v>137</v>
      </c>
      <c r="D93">
        <v>8574100</v>
      </c>
      <c r="E93">
        <f t="shared" si="73"/>
        <v>10856.25</v>
      </c>
      <c r="F93">
        <f t="shared" si="74"/>
        <v>5262.75</v>
      </c>
      <c r="G93">
        <f t="shared" si="75"/>
        <v>5262.75</v>
      </c>
      <c r="H93">
        <f t="shared" si="76"/>
        <v>5536.125</v>
      </c>
      <c r="J93" s="3">
        <f t="shared" si="54"/>
        <v>108642.5</v>
      </c>
      <c r="K93" s="3">
        <f t="shared" si="55"/>
        <v>26393.75</v>
      </c>
      <c r="L93" s="3">
        <f t="shared" si="56"/>
        <v>27140.625</v>
      </c>
      <c r="M93">
        <f t="shared" si="57"/>
        <v>14735.699999999999</v>
      </c>
      <c r="N93">
        <f t="shared" si="58"/>
        <v>13027.5</v>
      </c>
      <c r="O93">
        <f t="shared" si="59"/>
        <v>9999.2250000000004</v>
      </c>
      <c r="P93">
        <f t="shared" si="60"/>
        <v>13803.625</v>
      </c>
      <c r="Q93">
        <f t="shared" si="61"/>
        <v>11051.775</v>
      </c>
      <c r="R93">
        <f t="shared" si="62"/>
        <v>17171.55</v>
      </c>
      <c r="T93">
        <f t="shared" si="63"/>
        <v>407844.89562187501</v>
      </c>
      <c r="U93">
        <f t="shared" si="64"/>
        <v>14451127.166953122</v>
      </c>
      <c r="V93">
        <f t="shared" si="65"/>
        <v>3051091.1536874999</v>
      </c>
      <c r="W93">
        <f t="shared" si="66"/>
        <v>25757.324999999997</v>
      </c>
      <c r="X93">
        <f t="shared" si="67"/>
        <v>7918.125</v>
      </c>
      <c r="Y93">
        <f t="shared" si="68"/>
        <v>17943738</v>
      </c>
    </row>
    <row r="94" spans="1:25" ht="15.75" customHeight="1" x14ac:dyDescent="0.3">
      <c r="A94">
        <v>90</v>
      </c>
      <c r="B94" t="s">
        <v>147</v>
      </c>
      <c r="C94" t="s">
        <v>137</v>
      </c>
      <c r="D94">
        <v>8858000</v>
      </c>
      <c r="E94">
        <f t="shared" si="73"/>
        <v>10896.25</v>
      </c>
      <c r="F94">
        <f t="shared" si="74"/>
        <v>5282.75</v>
      </c>
      <c r="G94">
        <f t="shared" si="75"/>
        <v>5282.75</v>
      </c>
      <c r="H94">
        <f t="shared" si="76"/>
        <v>5556.125</v>
      </c>
      <c r="J94" s="3">
        <f t="shared" si="54"/>
        <v>109042.5</v>
      </c>
      <c r="K94" s="3">
        <f t="shared" si="55"/>
        <v>26493.75</v>
      </c>
      <c r="L94" s="3">
        <f t="shared" si="56"/>
        <v>27240.625</v>
      </c>
      <c r="M94">
        <f t="shared" si="57"/>
        <v>14791.699999999999</v>
      </c>
      <c r="N94">
        <f t="shared" si="58"/>
        <v>13075.5</v>
      </c>
      <c r="O94">
        <f t="shared" si="59"/>
        <v>10037.225</v>
      </c>
      <c r="P94">
        <f t="shared" si="60"/>
        <v>13853.625</v>
      </c>
      <c r="Q94">
        <f t="shared" si="61"/>
        <v>11093.775</v>
      </c>
      <c r="R94">
        <f t="shared" si="62"/>
        <v>17235.55</v>
      </c>
      <c r="T94">
        <f t="shared" si="63"/>
        <v>410753.14737187501</v>
      </c>
      <c r="U94">
        <f t="shared" si="64"/>
        <v>14557501.710703121</v>
      </c>
      <c r="V94">
        <f t="shared" si="65"/>
        <v>3073779.9736874998</v>
      </c>
      <c r="W94">
        <f t="shared" si="66"/>
        <v>25853.324999999997</v>
      </c>
      <c r="X94">
        <f t="shared" si="67"/>
        <v>7948.125</v>
      </c>
      <c r="Y94">
        <f t="shared" si="68"/>
        <v>18075836</v>
      </c>
    </row>
  </sheetData>
  <phoneticPr fontId="1" type="noConversion"/>
  <pageMargins left="0.75" right="0.75" top="1" bottom="1" header="0.5" footer="0.5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z_realms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2026-07-06T12:49:32Z</dcterms:created>
  <dcterms:modified xsi:type="dcterms:W3CDTF">2026-07-08T14:42:33Z</dcterms:modified>
</cp:coreProperties>
</file>